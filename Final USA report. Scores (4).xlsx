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 master tracker" sheetId="1" r:id="rId5"/>
    <sheet state="visible" name="Scores" sheetId="2" r:id="rId6"/>
    <sheet state="visible" name="Format Draft" sheetId="3" r:id="rId7"/>
  </sheets>
  <definedNames>
    <definedName hidden="1" localSheetId="0" name="_xlnm._FilterDatabase">'USA master tracker'!$A$1:$AO$89</definedName>
    <definedName name="MY_FUNCTION3">LAMBDA(IF(OR(LOWER('USA master tracker'!$AM$2)="sent to client",LEFT(LOWER('USA master tracker'!$AM$2),4)="done"),1,0))</definedName>
    <definedName name="MY_FUNCTION1">LAMBDA(IF(
  OR(
    REGEXMATCH(LOWER('USA master tracker'!$AM$2),"sent"),
    REGEXMATCH(LOWER('USA master tracker'!$AM$2),"done")
  ),
  1,
  0
))</definedName>
    <definedName name="MY_FUNCTION2">LAMBDA(IF(
  OR(
    LOWER(StatusCell)="sent to client",
    LEFT(LOWER(StatusCell),4)="done"
  ),
  1,
  0
))</definedName>
    <definedName name="ṆṆ">LAMBDA(IF(
  OR(
    TRIM(LOWER('USA master tracker'!$AM$2))="sent to client",
    REGEXMATCH(TRIM(LOWER('USA master tracker'!$AM$2)),"^done\b")
  ),
  1,
  0
))</definedName>
  </definedNames>
  <calcPr/>
  <pivotCaches>
    <pivotCache cacheId="0" r:id="rId8"/>
  </pivotCaches>
</workbook>
</file>

<file path=xl/sharedStrings.xml><?xml version="1.0" encoding="utf-8"?>
<sst xmlns="http://schemas.openxmlformats.org/spreadsheetml/2006/main" count="2361" uniqueCount="408">
  <si>
    <t>PG</t>
  </si>
  <si>
    <t>Divisional Group</t>
  </si>
  <si>
    <t>MSA name</t>
  </si>
  <si>
    <t>Last Connected</t>
  </si>
  <si>
    <t xml:space="preserve">Any meet setup </t>
  </si>
  <si>
    <t>EHR</t>
  </si>
  <si>
    <t>EHR Name</t>
  </si>
  <si>
    <t>Volume per month</t>
  </si>
  <si>
    <t>Workflow</t>
  </si>
  <si>
    <t xml:space="preserve">Internal Allocation </t>
  </si>
  <si>
    <t xml:space="preserve">Automation Feasibility </t>
  </si>
  <si>
    <t xml:space="preserve">Automation Status </t>
  </si>
  <si>
    <t>Additional Comments</t>
  </si>
  <si>
    <t>PGs health status</t>
  </si>
  <si>
    <t>Jan' 2026</t>
  </si>
  <si>
    <t>Jan' 2026 score</t>
  </si>
  <si>
    <t>Dec '25</t>
  </si>
  <si>
    <t>Dec' 25 Score</t>
  </si>
  <si>
    <t>Nov' 25</t>
  </si>
  <si>
    <t>Nov' 25 Score</t>
  </si>
  <si>
    <t>Oct ' 25</t>
  </si>
  <si>
    <t>Oct' 25 Score</t>
  </si>
  <si>
    <t>Sept' 25</t>
  </si>
  <si>
    <t>Sept' 25 Score</t>
  </si>
  <si>
    <t>Aug' 25</t>
  </si>
  <si>
    <t>Aug' 25 Score</t>
  </si>
  <si>
    <t>JULY'25</t>
  </si>
  <si>
    <t>July' 25 Score</t>
  </si>
  <si>
    <t>June' 25</t>
  </si>
  <si>
    <t>June' 25 Score</t>
  </si>
  <si>
    <t>MAY'25</t>
  </si>
  <si>
    <t>May' 25 Score</t>
  </si>
  <si>
    <t>APRIL'25</t>
  </si>
  <si>
    <t>April' 25 Score</t>
  </si>
  <si>
    <t>March</t>
  </si>
  <si>
    <t>March' 25 Score</t>
  </si>
  <si>
    <t>FEB'25</t>
  </si>
  <si>
    <t>Feb' 25 Score</t>
  </si>
  <si>
    <t>JAN' 25</t>
  </si>
  <si>
    <t>JAN' 25 Score</t>
  </si>
  <si>
    <t xml:space="preserve">current </t>
  </si>
  <si>
    <t>BIDMC</t>
  </si>
  <si>
    <t>EAST</t>
  </si>
  <si>
    <t>Boston</t>
  </si>
  <si>
    <t>Monthly meets</t>
  </si>
  <si>
    <t>NO</t>
  </si>
  <si>
    <t>-</t>
  </si>
  <si>
    <t>outstanding reports needs to go on time</t>
  </si>
  <si>
    <t>Fair</t>
  </si>
  <si>
    <t>yet to start with</t>
  </si>
  <si>
    <t>working</t>
  </si>
  <si>
    <t>under audit</t>
  </si>
  <si>
    <t>under rework</t>
  </si>
  <si>
    <t>sent to client</t>
  </si>
  <si>
    <t>Bowdoin</t>
  </si>
  <si>
    <t>Meet set up 14th jan</t>
  </si>
  <si>
    <t>need to discuss the DA workflow with related to other services with them</t>
  </si>
  <si>
    <t>dont send them sheets</t>
  </si>
  <si>
    <t>Lowell</t>
  </si>
  <si>
    <t>Bi-weekly</t>
  </si>
  <si>
    <t>Not Working Currently</t>
  </si>
  <si>
    <t>Epic</t>
  </si>
  <si>
    <t>100 docs</t>
  </si>
  <si>
    <t>Redirection from the chart</t>
  </si>
  <si>
    <t>Pratibha (FTE)</t>
  </si>
  <si>
    <t>Not feasible</t>
  </si>
  <si>
    <t>need the outstanding reports ASAP</t>
  </si>
  <si>
    <t>very disappointment</t>
  </si>
  <si>
    <t>Upham</t>
  </si>
  <si>
    <t>Jan 6, 2026 (Eugenia)</t>
  </si>
  <si>
    <t>Meet set up 13th jan (need to setup)</t>
  </si>
  <si>
    <t>YES</t>
  </si>
  <si>
    <t>(citrix)Epic</t>
  </si>
  <si>
    <t>Neurology Center of NE</t>
  </si>
  <si>
    <t>need to setup</t>
  </si>
  <si>
    <t>ECW</t>
  </si>
  <si>
    <t xml:space="preserve">need to have a word with Kate </t>
  </si>
  <si>
    <t>at risk</t>
  </si>
  <si>
    <t>Care Dimensions</t>
  </si>
  <si>
    <t>8th jan, 2026</t>
  </si>
  <si>
    <t>Weekly (wed +thursday - dme)</t>
  </si>
  <si>
    <t>Unifimd(accesspad)</t>
  </si>
  <si>
    <t>50 orders</t>
  </si>
  <si>
    <t>DME</t>
  </si>
  <si>
    <t>DME team</t>
  </si>
  <si>
    <t>can be automated</t>
  </si>
  <si>
    <t>Not Done</t>
  </si>
  <si>
    <t>Good</t>
  </si>
  <si>
    <t>Not Applicable</t>
  </si>
  <si>
    <t>Brockton</t>
  </si>
  <si>
    <t>4th jan, 2026</t>
  </si>
  <si>
    <t>Meet on next week (need to setup)</t>
  </si>
  <si>
    <t>need to get on a meet with her and confirm the timing</t>
  </si>
  <si>
    <t>Riverside</t>
  </si>
  <si>
    <t>8th jan,2026</t>
  </si>
  <si>
    <t>Weekly</t>
  </si>
  <si>
    <t>60 charges</t>
  </si>
  <si>
    <t>claims</t>
  </si>
  <si>
    <t>Not allocated</t>
  </si>
  <si>
    <t>claims batch needs to be closed properly</t>
  </si>
  <si>
    <t>doing the claims</t>
  </si>
  <si>
    <t>Done with claims</t>
  </si>
  <si>
    <t>Health Quality Primary Care</t>
  </si>
  <si>
    <t>not connected with pg</t>
  </si>
  <si>
    <t>Athena</t>
  </si>
  <si>
    <t>20 charges</t>
  </si>
  <si>
    <t>Urgent:- need to connect with them ASAP</t>
  </si>
  <si>
    <t>sent for AI audit</t>
  </si>
  <si>
    <t>New Bedford</t>
  </si>
  <si>
    <t>Practice Fusion</t>
  </si>
  <si>
    <t>Best Self</t>
  </si>
  <si>
    <t>15 orders</t>
  </si>
  <si>
    <t>DME,claims</t>
  </si>
  <si>
    <t>need to get a clarity on invoices as pg is asking it.</t>
  </si>
  <si>
    <t>Resil Claude</t>
  </si>
  <si>
    <t>7th jan, 2026</t>
  </si>
  <si>
    <t>10 claims</t>
  </si>
  <si>
    <t>Claims (done by frank)</t>
  </si>
  <si>
    <t>Frank</t>
  </si>
  <si>
    <t>Not req</t>
  </si>
  <si>
    <t>need to get the meet setup with him ASAP</t>
  </si>
  <si>
    <t>not able to bill the patients</t>
  </si>
  <si>
    <t>Hyde Park</t>
  </si>
  <si>
    <t>not connected</t>
  </si>
  <si>
    <t>18 claims</t>
  </si>
  <si>
    <t>Urgent:- need to meet them ASAP</t>
  </si>
  <si>
    <t>Orthopaedic Specialists of Massachusetts</t>
  </si>
  <si>
    <t>3rd jan, 2026</t>
  </si>
  <si>
    <t xml:space="preserve">Associates in Internal Medicine - Norwood </t>
  </si>
  <si>
    <t>on hold</t>
  </si>
  <si>
    <t>NA</t>
  </si>
  <si>
    <t>need to start acquistion again</t>
  </si>
  <si>
    <t>Boston Senior Medicine</t>
  </si>
  <si>
    <t>Medical Associates of NE</t>
  </si>
  <si>
    <t>Northeast Medical Group</t>
  </si>
  <si>
    <t>Renaissance Primary care</t>
  </si>
  <si>
    <t>Prima Care</t>
  </si>
  <si>
    <t>Providence Bristol</t>
  </si>
  <si>
    <t>600 claims</t>
  </si>
  <si>
    <t>Legacy Team</t>
  </si>
  <si>
    <t>need to connect with JAI</t>
  </si>
  <si>
    <t>Hawthorn (brown health)</t>
  </si>
  <si>
    <t>500 claims</t>
  </si>
  <si>
    <t>need to get the access in the EHR to do the claims</t>
  </si>
  <si>
    <t>Trucare</t>
  </si>
  <si>
    <t>Meet Set up on 16th jan (need to setup monthly)</t>
  </si>
  <si>
    <t>ACO Health</t>
  </si>
  <si>
    <t>Dr chrono- by Ever health</t>
  </si>
  <si>
    <t>Healthfirst</t>
  </si>
  <si>
    <t>need to get different login while getting the EHR creds</t>
  </si>
  <si>
    <t>Providence Care</t>
  </si>
  <si>
    <t>Charlotte</t>
  </si>
  <si>
    <t>need to setup again</t>
  </si>
  <si>
    <t>need to get the number changed for otp of EHR (current: Sanju)</t>
  </si>
  <si>
    <t>Caring Health</t>
  </si>
  <si>
    <t>Springfield</t>
  </si>
  <si>
    <t>citrix(Epic)</t>
  </si>
  <si>
    <t>upload orders from EHR to BO</t>
  </si>
  <si>
    <t>In testing</t>
  </si>
  <si>
    <t>need to get the number changed for otp of EHR (current: Vedansh)</t>
  </si>
  <si>
    <t>FHCW</t>
  </si>
  <si>
    <t>Worcester</t>
  </si>
  <si>
    <t>need to get a fresh agency list from them, over 70 orders are in change request.</t>
  </si>
  <si>
    <t>Grace at Home</t>
  </si>
  <si>
    <t>EAST CENTRAL</t>
  </si>
  <si>
    <t>Indiana Polis</t>
  </si>
  <si>
    <t>6th Jan 2026</t>
  </si>
  <si>
    <t>Weekly on Tuesday</t>
  </si>
  <si>
    <t>75-100</t>
  </si>
  <si>
    <t>Upload docs from fax to BO; send back docs from BO to google drive</t>
  </si>
  <si>
    <t>Vedant,Anushka</t>
  </si>
  <si>
    <t>Not done</t>
  </si>
  <si>
    <t>Covenant Care</t>
  </si>
  <si>
    <t>Cleveland</t>
  </si>
  <si>
    <t>10th Dec 2025</t>
  </si>
  <si>
    <t>Biweekly on Wednesday</t>
  </si>
  <si>
    <t>120claims/ 500 orders</t>
  </si>
  <si>
    <t>Claims; faxes upload from PG EHR to BO (we have faxbox access);Upload SIgned order back from BO to EHR</t>
  </si>
  <si>
    <t>Srubhi</t>
  </si>
  <si>
    <t>cannot be automated</t>
  </si>
  <si>
    <t>have to complete all the tasks</t>
  </si>
  <si>
    <t>sent to Hemant</t>
  </si>
  <si>
    <t>MDPC</t>
  </si>
  <si>
    <t>Port St Lucie</t>
  </si>
  <si>
    <t>Early Dec 2025</t>
  </si>
  <si>
    <t>Biweekly on Friday</t>
  </si>
  <si>
    <t>Claims</t>
  </si>
  <si>
    <t>need to get the ehr cred reset ASAP</t>
  </si>
  <si>
    <t>WoundCentrics, LLC</t>
  </si>
  <si>
    <t>CENTRAL</t>
  </si>
  <si>
    <t>San Antonio</t>
  </si>
  <si>
    <t>6th jan , 2025</t>
  </si>
  <si>
    <t>weekly on tuesday</t>
  </si>
  <si>
    <t>2000backlog (monthly 30-40)</t>
  </si>
  <si>
    <t>upload Faxes from ehr to BO</t>
  </si>
  <si>
    <t>Automated</t>
  </si>
  <si>
    <t>Centrics physician group</t>
  </si>
  <si>
    <t>centricafoundaria(own ehr)</t>
  </si>
  <si>
    <t>Responsive Infectious Diseases Solutions</t>
  </si>
  <si>
    <t>Elation</t>
  </si>
  <si>
    <t>Visiting Practitioners And Palliative Care LLC</t>
  </si>
  <si>
    <t>are ready to setup just sheets needs to be sent first</t>
  </si>
  <si>
    <t>need the sheets ASAP</t>
  </si>
  <si>
    <t>Doctor at your service</t>
  </si>
  <si>
    <t>mednetworkx</t>
  </si>
  <si>
    <t xml:space="preserve"> need to send the sheets</t>
  </si>
  <si>
    <t>San Antonio Family Physicians</t>
  </si>
  <si>
    <t>add communication on BO after billing sheet</t>
  </si>
  <si>
    <t>Madilyn Team</t>
  </si>
  <si>
    <t>can try</t>
  </si>
  <si>
    <t>Northeast ProHealth</t>
  </si>
  <si>
    <t>yet to be audited</t>
  </si>
  <si>
    <t>Goldstein Alasdair MD</t>
  </si>
  <si>
    <t>Not connected</t>
  </si>
  <si>
    <t>Boerne Healthcare Group</t>
  </si>
  <si>
    <t>UT health</t>
  </si>
  <si>
    <t>Epic care</t>
  </si>
  <si>
    <t>Optimized Mobile Practitioners</t>
  </si>
  <si>
    <t xml:space="preserve">26th December, 2025  </t>
  </si>
  <si>
    <t>weekly on friday</t>
  </si>
  <si>
    <t xml:space="preserve">YES </t>
  </si>
  <si>
    <t>charm health</t>
  </si>
  <si>
    <t>From JAN 2026 we can start with CPO</t>
  </si>
  <si>
    <t>WOUNDLOCAL</t>
  </si>
  <si>
    <t>23rd december,2025</t>
  </si>
  <si>
    <t>upload docs from drive link to BO</t>
  </si>
  <si>
    <t>currently using just a signing tool</t>
  </si>
  <si>
    <t>KELLUM FAMILY PRACTICE</t>
  </si>
  <si>
    <t xml:space="preserve">San Antonio </t>
  </si>
  <si>
    <t>mid december</t>
  </si>
  <si>
    <t>From Jan 2026 we can start with CPO</t>
  </si>
  <si>
    <t>dont want the sheets</t>
  </si>
  <si>
    <t xml:space="preserve">Integrative </t>
  </si>
  <si>
    <t>6th jan, 2026</t>
  </si>
  <si>
    <t>need to setup a meet before sending them the sheets</t>
  </si>
  <si>
    <t>might loose very less activity</t>
  </si>
  <si>
    <t>Royal VP</t>
  </si>
  <si>
    <t>DFW</t>
  </si>
  <si>
    <t>20th december,2025</t>
  </si>
  <si>
    <t>need the sheets</t>
  </si>
  <si>
    <t>Atrium Housecalls</t>
  </si>
  <si>
    <t>23rd december</t>
  </si>
  <si>
    <t>Health Fusion</t>
  </si>
  <si>
    <t xml:space="preserve">need the doc prep </t>
  </si>
  <si>
    <t xml:space="preserve"> Americare</t>
  </si>
  <si>
    <t>5th jan,2025</t>
  </si>
  <si>
    <t>practice fusion(tebra)</t>
  </si>
  <si>
    <t>signed contract on 9th JAN (need sheets tho)</t>
  </si>
  <si>
    <t xml:space="preserve"> Prime MD Geriatrics</t>
  </si>
  <si>
    <t>December first week</t>
  </si>
  <si>
    <t>practice fusion</t>
  </si>
  <si>
    <t xml:space="preserve"> Texas Infectious Disease Institute</t>
  </si>
  <si>
    <t>community first</t>
  </si>
  <si>
    <t>Tebra</t>
  </si>
  <si>
    <t>Doctors at Home</t>
  </si>
  <si>
    <t>6th jan , 2026</t>
  </si>
  <si>
    <t>300-400</t>
  </si>
  <si>
    <t>Upload docs from Bo to ehr</t>
  </si>
  <si>
    <t>Done</t>
  </si>
  <si>
    <t>need to connect with cindy on monday</t>
  </si>
  <si>
    <t>Key Medical Care</t>
  </si>
  <si>
    <t>first week of december</t>
  </si>
  <si>
    <t>Advanced MD</t>
  </si>
  <si>
    <t>not called</t>
  </si>
  <si>
    <t xml:space="preserve"> Medical Associates of North Texas</t>
  </si>
  <si>
    <t xml:space="preserve"> Intracare</t>
  </si>
  <si>
    <t>DFW (8branches)</t>
  </si>
  <si>
    <t>5th jan,2026</t>
  </si>
  <si>
    <t>biweekly on monday</t>
  </si>
  <si>
    <t>Doc upload from Ehr to BO</t>
  </si>
  <si>
    <t>need to capture CPO (dont generate CCN for them)</t>
  </si>
  <si>
    <t>Restore Family Medical clinic</t>
  </si>
  <si>
    <t xml:space="preserve">Oklahoma </t>
  </si>
  <si>
    <t>dec last week</t>
  </si>
  <si>
    <t xml:space="preserve">Need to setup meet on priority </t>
  </si>
  <si>
    <t>Southeast Oklahoma Medical Clinic</t>
  </si>
  <si>
    <t>Jan 1st week</t>
  </si>
  <si>
    <t>Need to tell abt DA</t>
  </si>
  <si>
    <t>Anibal Avila MA P,C</t>
  </si>
  <si>
    <t>Need to find there POC</t>
  </si>
  <si>
    <t>TPCH Practice</t>
  </si>
  <si>
    <t>meet setup upcoming week (call done)</t>
  </si>
  <si>
    <t>Primary care of Ada</t>
  </si>
  <si>
    <t xml:space="preserve">need to connect with them </t>
  </si>
  <si>
    <t>Total Family Healthcare</t>
  </si>
  <si>
    <t>need to call them again this week</t>
  </si>
  <si>
    <t>Crescent Infectious Diseases</t>
  </si>
  <si>
    <t>number is fixed, need to call them again</t>
  </si>
  <si>
    <t>Internal Medicine Associates OKC</t>
  </si>
  <si>
    <t>have to reach out to there agencies, (need to have a convo about outstanding report)</t>
  </si>
  <si>
    <t>Triton Health PLLC</t>
  </si>
  <si>
    <t>ortho central</t>
  </si>
  <si>
    <t>3rd jan,2026</t>
  </si>
  <si>
    <t>montly on wednesday</t>
  </si>
  <si>
    <t>In house custom ehr</t>
  </si>
  <si>
    <t xml:space="preserve">need to send them sheets on priority </t>
  </si>
  <si>
    <t>ssm health bone &amp; joint hospital</t>
  </si>
  <si>
    <t>need to fix there number</t>
  </si>
  <si>
    <t>SSM Health shawnee</t>
  </si>
  <si>
    <t>CPG - Community Physician Group</t>
  </si>
  <si>
    <t>need to connect with them ASAP</t>
  </si>
  <si>
    <t>Chickasaw Nation Medical Center</t>
  </si>
  <si>
    <t>Infectious Diseases Consultants of Oklahoma City (IDCOKC)</t>
  </si>
  <si>
    <t xml:space="preserve">biweekly </t>
  </si>
  <si>
    <t>Edtech-IMR</t>
  </si>
  <si>
    <t xml:space="preserve">can try to build a bot </t>
  </si>
  <si>
    <t xml:space="preserve">need to get the on BO too for their audit, have to get the EHR from ehr company </t>
  </si>
  <si>
    <t>COFMC</t>
  </si>
  <si>
    <t>6th jan,2026</t>
  </si>
  <si>
    <t>Docs upload from BO to EHR</t>
  </si>
  <si>
    <t>from jan need to send the sheet every 2 weeks</t>
  </si>
  <si>
    <t>Community Health Centers,Inc Oklahoma</t>
  </si>
  <si>
    <t xml:space="preserve">we need to connect with them </t>
  </si>
  <si>
    <t>PFMC</t>
  </si>
  <si>
    <t>Oklahoma</t>
  </si>
  <si>
    <t xml:space="preserve">APPLE MD </t>
  </si>
  <si>
    <t xml:space="preserve">Houston </t>
  </si>
  <si>
    <t>2nd jan,2026</t>
  </si>
  <si>
    <t xml:space="preserve">monthly on 2nd wednesday </t>
  </si>
  <si>
    <t>we have send them the invoices</t>
  </si>
  <si>
    <t xml:space="preserve">Clinics of north texas </t>
  </si>
  <si>
    <t xml:space="preserve">Wichita Falls </t>
  </si>
  <si>
    <t>Veradigm</t>
  </si>
  <si>
    <t xml:space="preserve">we have to start with rpm </t>
  </si>
  <si>
    <t>Boyer family practice</t>
  </si>
  <si>
    <t>Dr chrono by ever health</t>
  </si>
  <si>
    <t>Diverse care clinic</t>
  </si>
  <si>
    <t>Wichita Falls (Sherman)</t>
  </si>
  <si>
    <t>family medical associates</t>
  </si>
  <si>
    <t>have to do the retro active billing</t>
  </si>
  <si>
    <t>Orthopaedic Associates LLC</t>
  </si>
  <si>
    <t>we have start the implementation</t>
  </si>
  <si>
    <t xml:space="preserve">Morning Star </t>
  </si>
  <si>
    <t>28th jan, 2026</t>
  </si>
  <si>
    <t>dont want</t>
  </si>
  <si>
    <t>Automedsys</t>
  </si>
  <si>
    <t>Doc from BO to EHR</t>
  </si>
  <si>
    <t>need weekly reports of docs uploade to ehr</t>
  </si>
  <si>
    <t>brownfield</t>
  </si>
  <si>
    <t>WEST</t>
  </si>
  <si>
    <t>Texas Panhandle</t>
  </si>
  <si>
    <t>5th Jan</t>
  </si>
  <si>
    <t>TTUHSC</t>
  </si>
  <si>
    <t>Lubbock</t>
  </si>
  <si>
    <t>need to do the retro active billing and connect with them ASAP</t>
  </si>
  <si>
    <t>Rocky Mountain</t>
  </si>
  <si>
    <t>Denver</t>
  </si>
  <si>
    <t>4th Jan, 2026</t>
  </si>
  <si>
    <t>need to send them sheets (pg is asking for it)</t>
  </si>
  <si>
    <t>Paragon</t>
  </si>
  <si>
    <t>Las Vegas</t>
  </si>
  <si>
    <t>Dec first week</t>
  </si>
  <si>
    <t>7claims/ 20 docs</t>
  </si>
  <si>
    <t>claims, order upload from drive to BO</t>
  </si>
  <si>
    <t>Maidlyn Team</t>
  </si>
  <si>
    <t>need to pitch in for DME again and do the home health billing better</t>
  </si>
  <si>
    <t>housecall MD</t>
  </si>
  <si>
    <t>Los Angeles</t>
  </si>
  <si>
    <t>Dec last week</t>
  </si>
  <si>
    <t>60-65</t>
  </si>
  <si>
    <t>need to complete the calims of aug on priority as pg is checking them now</t>
  </si>
  <si>
    <t>Bloom</t>
  </si>
  <si>
    <t>Colorado Springs</t>
  </si>
  <si>
    <t>5th Jan, 2026</t>
  </si>
  <si>
    <t xml:space="preserve"> needs to discuss about outstanding report, agencies and couple of physicians not signing( approx 30)</t>
  </si>
  <si>
    <t>Los Cerros</t>
  </si>
  <si>
    <t>El-Paso</t>
  </si>
  <si>
    <t>Not working currently</t>
  </si>
  <si>
    <t>Glenwood system</t>
  </si>
  <si>
    <t>someone needs to connect urgently.</t>
  </si>
  <si>
    <t>Jo Wyatt</t>
  </si>
  <si>
    <t>Amarillo</t>
  </si>
  <si>
    <t>Intracare</t>
  </si>
  <si>
    <t>Phoenix (8branches)</t>
  </si>
  <si>
    <t>100(300 backlog)</t>
  </si>
  <si>
    <t>AVG of JAN' 25 Score</t>
  </si>
  <si>
    <t>AVG of Feb' 25 Score</t>
  </si>
  <si>
    <t>AVERAGE of March' 25 Score</t>
  </si>
  <si>
    <t>AVGof April' 25 Score</t>
  </si>
  <si>
    <t>AVG of May' 25 Score</t>
  </si>
  <si>
    <t>AVG of June' 25 Score</t>
  </si>
  <si>
    <t>AVG of July' 25 Score</t>
  </si>
  <si>
    <t>AVG of Aug' 25 Score</t>
  </si>
  <si>
    <t>AVG of Sept' 25 Score</t>
  </si>
  <si>
    <t>AVG of Oct' 25 Score</t>
  </si>
  <si>
    <t>AVG of Nov' 25 Score</t>
  </si>
  <si>
    <t>AVG of Dec' 25 Score</t>
  </si>
  <si>
    <t>Overall Score</t>
  </si>
  <si>
    <t xml:space="preserve">PG </t>
  </si>
  <si>
    <t>Division</t>
  </si>
  <si>
    <t xml:space="preserve">Workflow Category </t>
  </si>
  <si>
    <t xml:space="preserve">Timeline </t>
  </si>
  <si>
    <t xml:space="preserve">Volume </t>
  </si>
  <si>
    <t xml:space="preserve">Physician Reports </t>
  </si>
  <si>
    <t xml:space="preserve">NPI </t>
  </si>
  <si>
    <t>Phy</t>
  </si>
  <si>
    <t xml:space="preserve">last signed </t>
  </si>
  <si>
    <t xml:space="preserve">PG stats report </t>
  </si>
  <si>
    <t>Divisional group</t>
  </si>
  <si>
    <t>PGs</t>
  </si>
  <si>
    <t>Count of Physicians</t>
  </si>
  <si>
    <t>Last signed date of Physicians</t>
  </si>
  <si>
    <t xml:space="preserve">score </t>
  </si>
  <si>
    <t xml:space="preserve">Billing Reports shared </t>
  </si>
  <si>
    <t>Meets scheduled</t>
  </si>
  <si>
    <t xml:space="preserve">Last communication </t>
  </si>
  <si>
    <t>Docs Prep</t>
  </si>
  <si>
    <t>0/5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</si>
</sst>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 d, yyyy"/>
    <numFmt numFmtId="165" formatCode="mmm d,yyyy"/>
    <numFmt numFmtId="166" formatCode="mmmm,yyyy"/>
    <numFmt numFmtId="167" formatCode="mmmm, yyyy"/>
    <numFmt numFmtId="168" formatCode="m-d"/>
    <numFmt numFmtId="169" formatCode="m/d"/>
  </numFmts>
  <fonts count="6">
    <font>
      <sz val="10.0"/>
      <color rgb="FF000000"/>
      <name val="Arial"/>
      <scheme val="minor"/>
    </font>
    <font>
      <b/>
      <sz val="13.0"/>
      <color theme="1"/>
      <name val="Arial"/>
      <scheme val="minor"/>
    </font>
    <font>
      <b/>
      <sz val="13.0"/>
      <color theme="1"/>
      <name val="Arial"/>
    </font>
    <font>
      <color theme="1"/>
      <name val="Arial"/>
      <scheme val="minor"/>
    </font>
    <font>
      <color theme="1"/>
      <name val="Arial"/>
    </font>
    <font>
      <b/>
      <color theme="1"/>
      <name val="Arial"/>
      <scheme val="minor"/>
    </font>
  </fonts>
  <fills count="5">
    <fill>
      <patternFill patternType="none"/>
    </fill>
    <fill>
      <patternFill patternType="lightGray"/>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2" fontId="1" numFmtId="0" xfId="0" applyAlignment="1" applyFont="1">
      <alignment horizontal="center" readingOrder="0"/>
    </xf>
    <xf borderId="0" fillId="2" fontId="2" numFmtId="0" xfId="0" applyAlignment="1" applyFont="1">
      <alignment horizontal="center" readingOrder="0" vertical="bottom"/>
    </xf>
    <xf borderId="1" fillId="3" fontId="3" numFmtId="0" xfId="0" applyAlignment="1" applyBorder="1" applyFill="1" applyFont="1">
      <alignment readingOrder="0"/>
    </xf>
    <xf borderId="1" fillId="3" fontId="3" numFmtId="0" xfId="0" applyAlignment="1" applyBorder="1" applyFont="1">
      <alignment horizontal="center" readingOrder="0"/>
    </xf>
    <xf borderId="1" fillId="3" fontId="3" numFmtId="164" xfId="0" applyAlignment="1" applyBorder="1" applyFont="1" applyNumberFormat="1">
      <alignment horizontal="center" readingOrder="0"/>
    </xf>
    <xf borderId="0" fillId="3" fontId="4" numFmtId="0" xfId="0" applyAlignment="1" applyFont="1">
      <alignment horizontal="right" vertical="bottom"/>
    </xf>
    <xf borderId="0" fillId="3" fontId="3" numFmtId="0" xfId="0" applyAlignment="1" applyFont="1">
      <alignment readingOrder="0"/>
    </xf>
    <xf borderId="0" fillId="3" fontId="3" numFmtId="0" xfId="0" applyAlignment="1" applyFont="1">
      <alignment readingOrder="0"/>
    </xf>
    <xf borderId="1" fillId="4" fontId="3" numFmtId="0" xfId="0" applyAlignment="1" applyBorder="1" applyFill="1" applyFont="1">
      <alignment readingOrder="0"/>
    </xf>
    <xf borderId="1" fillId="4" fontId="3" numFmtId="0" xfId="0" applyAlignment="1" applyBorder="1" applyFont="1">
      <alignment horizontal="center" readingOrder="0"/>
    </xf>
    <xf borderId="1" fillId="4" fontId="3" numFmtId="165" xfId="0" applyAlignment="1" applyBorder="1" applyFont="1" applyNumberFormat="1">
      <alignment horizontal="center" readingOrder="0"/>
    </xf>
    <xf borderId="0" fillId="4" fontId="4" numFmtId="0" xfId="0" applyAlignment="1" applyFont="1">
      <alignment horizontal="right" readingOrder="0" vertical="bottom"/>
    </xf>
    <xf borderId="0" fillId="4" fontId="3" numFmtId="0" xfId="0" applyAlignment="1" applyFont="1">
      <alignment readingOrder="0"/>
    </xf>
    <xf borderId="0" fillId="4" fontId="3" numFmtId="0" xfId="0" applyAlignment="1" applyFont="1">
      <alignment readingOrder="0"/>
    </xf>
    <xf borderId="0" fillId="3" fontId="4" numFmtId="0" xfId="0" applyAlignment="1" applyFont="1">
      <alignment horizontal="right" readingOrder="0" vertical="bottom"/>
    </xf>
    <xf borderId="1" fillId="4" fontId="3" numFmtId="0" xfId="0" applyAlignment="1" applyBorder="1" applyFont="1">
      <alignment horizontal="left" readingOrder="0"/>
    </xf>
    <xf borderId="0" fillId="4" fontId="4" numFmtId="0" xfId="0" applyAlignment="1" applyFont="1">
      <alignment horizontal="right" vertical="bottom"/>
    </xf>
    <xf borderId="1" fillId="4" fontId="3" numFmtId="164" xfId="0" applyAlignment="1" applyBorder="1" applyFont="1" applyNumberFormat="1">
      <alignment horizontal="center" readingOrder="0"/>
    </xf>
    <xf borderId="1" fillId="4" fontId="4" numFmtId="0" xfId="0" applyAlignment="1" applyBorder="1" applyFont="1">
      <alignment vertical="bottom"/>
    </xf>
    <xf borderId="1" fillId="4" fontId="4" numFmtId="0" xfId="0" applyAlignment="1" applyBorder="1" applyFont="1">
      <alignment horizontal="center" readingOrder="0" vertical="bottom"/>
    </xf>
    <xf borderId="1" fillId="4" fontId="4" numFmtId="0" xfId="0" applyAlignment="1" applyBorder="1" applyFont="1">
      <alignment horizontal="center" vertical="bottom"/>
    </xf>
    <xf borderId="1" fillId="3" fontId="4" numFmtId="0" xfId="0" applyAlignment="1" applyBorder="1" applyFont="1">
      <alignment vertical="bottom"/>
    </xf>
    <xf borderId="1" fillId="3" fontId="4" numFmtId="0" xfId="0" applyAlignment="1" applyBorder="1" applyFont="1">
      <alignment horizontal="center" readingOrder="0" vertical="bottom"/>
    </xf>
    <xf borderId="1" fillId="3" fontId="4" numFmtId="0" xfId="0" applyAlignment="1" applyBorder="1" applyFont="1">
      <alignment horizontal="center" vertical="bottom"/>
    </xf>
    <xf borderId="1" fillId="4" fontId="4" numFmtId="166" xfId="0" applyAlignment="1" applyBorder="1" applyFont="1" applyNumberFormat="1">
      <alignment horizontal="center" vertical="bottom"/>
    </xf>
    <xf borderId="1" fillId="3" fontId="4" numFmtId="166" xfId="0" applyAlignment="1" applyBorder="1" applyFont="1" applyNumberFormat="1">
      <alignment horizontal="center" vertical="bottom"/>
    </xf>
    <xf borderId="1" fillId="4" fontId="4" numFmtId="167" xfId="0" applyAlignment="1" applyBorder="1" applyFont="1" applyNumberFormat="1">
      <alignment horizontal="center" vertical="bottom"/>
    </xf>
    <xf borderId="1" fillId="4" fontId="4" numFmtId="0" xfId="0" applyAlignment="1" applyBorder="1" applyFont="1">
      <alignment horizontal="left" vertical="bottom"/>
    </xf>
    <xf borderId="1" fillId="3" fontId="4" numFmtId="167" xfId="0" applyAlignment="1" applyBorder="1" applyFont="1" applyNumberFormat="1">
      <alignment horizontal="center" vertical="bottom"/>
    </xf>
    <xf borderId="1" fillId="4" fontId="4" numFmtId="0" xfId="0" applyAlignment="1" applyBorder="1" applyFont="1">
      <alignment horizontal="center" vertical="bottom"/>
    </xf>
    <xf borderId="1" fillId="3" fontId="3" numFmtId="168" xfId="0" applyAlignment="1" applyBorder="1" applyFont="1" applyNumberFormat="1">
      <alignment horizontal="center" readingOrder="0"/>
    </xf>
    <xf borderId="1" fillId="3" fontId="4" numFmtId="0" xfId="0" applyAlignment="1" applyBorder="1" applyFont="1">
      <alignment horizontal="center" vertical="bottom"/>
    </xf>
    <xf borderId="1" fillId="4" fontId="4" numFmtId="0" xfId="0" applyAlignment="1" applyBorder="1" applyFont="1">
      <alignment readingOrder="0" vertical="bottom"/>
    </xf>
    <xf borderId="1" fillId="3" fontId="4" numFmtId="0" xfId="0" applyAlignment="1" applyBorder="1" applyFont="1">
      <alignment readingOrder="0" vertical="bottom"/>
    </xf>
    <xf borderId="0" fillId="4" fontId="3" numFmtId="0" xfId="0" applyAlignment="1" applyFont="1">
      <alignment horizontal="center" readingOrder="0"/>
    </xf>
    <xf borderId="0" fillId="4" fontId="4" numFmtId="0" xfId="0" applyAlignment="1" applyFont="1">
      <alignment horizontal="center" readingOrder="0" vertical="bottom"/>
    </xf>
    <xf borderId="0" fillId="4" fontId="3" numFmtId="0" xfId="0" applyAlignment="1" applyFont="1">
      <alignment horizontal="left" readingOrder="0"/>
    </xf>
    <xf borderId="0" fillId="4" fontId="3" numFmtId="169" xfId="0" applyAlignment="1" applyFont="1" applyNumberFormat="1">
      <alignment readingOrder="0"/>
    </xf>
    <xf borderId="0" fillId="0" fontId="3" numFmtId="0" xfId="0" applyAlignment="1" applyFont="1">
      <alignment horizontal="center"/>
    </xf>
    <xf borderId="0" fillId="0" fontId="4" numFmtId="0" xfId="0" applyAlignment="1" applyFont="1">
      <alignment vertical="bottom"/>
    </xf>
    <xf borderId="0" fillId="0" fontId="3" numFmtId="0" xfId="0" applyAlignment="1" applyFont="1">
      <alignment readingOrder="0"/>
    </xf>
    <xf borderId="0" fillId="0" fontId="3" numFmtId="169" xfId="0" applyAlignment="1" applyFont="1" applyNumberFormat="1">
      <alignment readingOrder="0"/>
    </xf>
    <xf borderId="0" fillId="0" fontId="4" numFmtId="169" xfId="0" applyAlignment="1" applyFont="1" applyNumberFormat="1">
      <alignment vertical="bottom"/>
    </xf>
    <xf borderId="0" fillId="0" fontId="3" numFmtId="0" xfId="0" applyFont="1"/>
    <xf borderId="0" fillId="0" fontId="3" numFmtId="0" xfId="0" applyAlignment="1" applyFont="1">
      <alignment horizontal="center" readingOrder="0"/>
    </xf>
    <xf borderId="0" fillId="0" fontId="3" numFmtId="10" xfId="0" applyFont="1" applyNumberFormat="1"/>
    <xf borderId="0" fillId="0" fontId="3" numFmtId="10" xfId="0" applyAlignment="1" applyFont="1" applyNumberFormat="1">
      <alignment readingOrder="0"/>
    </xf>
    <xf borderId="0" fillId="0" fontId="5" numFmtId="0" xfId="0" applyAlignment="1" applyFont="1">
      <alignment readingOrder="0"/>
    </xf>
    <xf borderId="0" fillId="0" fontId="5" numFmtId="0" xfId="0" applyFont="1"/>
  </cellXfs>
  <cellStyles count="1">
    <cellStyle xfId="0" name="Normal" builtinId="0"/>
  </cellStyles>
  <dxfs count="4">
    <dxf>
      <font/>
      <fill>
        <patternFill patternType="none"/>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89" sheet="USA master tracker"/>
  </cacheSource>
  <cacheFields>
    <cacheField name="PG" numFmtId="0">
      <sharedItems>
        <s v="BIDMC"/>
        <s v="Bowdoin"/>
        <s v="Lowell"/>
        <s v="Upham"/>
        <s v="Neurology Center of NE"/>
        <s v="Care Dimensions"/>
        <s v="Brockton"/>
        <s v="Riverside"/>
        <s v="Health Quality Primary Care"/>
        <s v="New Bedford"/>
        <s v="Best Self"/>
        <s v="Resil Claude"/>
        <s v="Hyde Park"/>
        <s v="Orthopaedic Specialists of Massachusetts"/>
        <s v="Associates in Internal Medicine - Norwood "/>
        <s v="Boston Senior Medicine"/>
        <s v="Medical Associates of NE"/>
        <s v="Northeast Medical Group"/>
        <s v="Renaissance Primary care"/>
        <s v="Prima Care"/>
        <s v="Hawthorn (brown health)"/>
        <s v="Trucare"/>
        <s v="ACO Health"/>
        <s v="Healthfirst"/>
        <s v="Providence Care"/>
        <s v="Caring Health"/>
        <s v="FHCW"/>
        <s v="Grace at Home"/>
        <s v="Covenant Care"/>
        <s v="MDPC"/>
        <s v="WoundCentrics, LLC"/>
        <s v="Centrics physician group"/>
        <s v="Responsive Infectious Diseases Solutions"/>
        <s v="Visiting Practitioners And Palliative Care LLC"/>
        <s v="Doctor at your service"/>
        <s v="San Antonio Family Physicians"/>
        <s v="Northeast ProHealth"/>
        <s v="Goldstein Alasdair MD"/>
        <s v="Boerne Healthcare Group"/>
        <s v="UT health"/>
        <s v="Optimized Mobile Practitioners"/>
        <s v="WOUNDLOCAL"/>
        <s v="KELLUM FAMILY PRACTICE"/>
        <s v="Integrative "/>
        <s v="Royal VP"/>
        <s v="Atrium Housecalls"/>
        <s v=" Americare"/>
        <s v=" Prime MD Geriatrics"/>
        <s v=" Texas Infectious Disease Institute"/>
        <s v="community first"/>
        <s v="Doctors at Home"/>
        <s v="Key Medical Care"/>
        <s v=" Medical Associates of North Texas"/>
        <s v=" Intracare"/>
        <s v="Restore Family Medical clinic"/>
        <s v="Southeast Oklahoma Medical Clinic"/>
        <s v="Anibal Avila MA P,C"/>
        <s v="TPCH Practice"/>
        <s v="Primary care of Ada"/>
        <s v="Total Family Healthcare"/>
        <s v="Crescent Infectious Diseases"/>
        <s v="Internal Medicine Associates OKC"/>
        <s v="Triton Health PLLC"/>
        <s v="ortho central"/>
        <s v="ssm health bone &amp; joint hospital"/>
        <s v="SSM Health shawnee"/>
        <s v="CPG - Community Physician Group"/>
        <s v="Chickasaw Nation Medical Center"/>
        <s v="Infectious Diseases Consultants of Oklahoma City (IDCOKC)"/>
        <s v="COFMC"/>
        <s v="Community Health Centers,Inc Oklahoma"/>
        <s v="PFMC"/>
        <s v="APPLE MD "/>
        <s v="Clinics of north texas "/>
        <s v="Boyer family practice"/>
        <s v="Diverse care clinic"/>
        <s v="family medical associates"/>
        <s v="Orthopaedic Associates LLC"/>
        <s v="Morning Star "/>
        <s v="brownfield"/>
        <s v="TTUHSC"/>
        <s v="Rocky Mountain"/>
        <s v="Paragon"/>
        <s v="housecall MD"/>
        <s v="Bloom"/>
        <s v="Los Cerros"/>
        <s v="Jo Wyatt"/>
        <s v="Intracare"/>
      </sharedItems>
    </cacheField>
    <cacheField name="Divisional Group" numFmtId="0">
      <sharedItems>
        <s v="EAST"/>
        <s v="EAST CENTRAL"/>
        <s v="CENTRAL"/>
        <s v="WEST"/>
      </sharedItems>
    </cacheField>
    <cacheField name="MSA name" numFmtId="0">
      <sharedItems>
        <s v="Boston"/>
        <s v="Providence Bristol"/>
        <s v="Charlotte"/>
        <s v="Springfield"/>
        <s v="Worcester"/>
        <s v="Indiana Polis"/>
        <s v="Cleveland"/>
        <s v="Port St Lucie"/>
        <s v="San Antonio"/>
        <s v="San Antonio "/>
        <s v="DFW"/>
        <s v="DFW (8branches)"/>
        <s v="Oklahoma "/>
        <s v="Oklahoma"/>
        <s v="Houston "/>
        <s v="Wichita Falls "/>
        <s v="Wichita Falls (Sherman)"/>
        <s v="Texas Panhandle"/>
        <s v="Lubbock"/>
        <s v="Denver"/>
        <s v="Las Vegas"/>
        <s v="Los Angeles"/>
        <s v="Colorado Springs"/>
        <s v="El-Paso"/>
        <s v="Amarillo"/>
        <s v="Phoenix (8branches)"/>
      </sharedItems>
    </cacheField>
    <cacheField name="Last Connected">
      <sharedItems containsDate="1" containsMixedTypes="1">
        <d v="2025-12-09T00:00:00Z"/>
        <d v="2025-12-23T00:00:00Z"/>
        <d v="2025-12-26T00:00:00Z"/>
        <s v="Jan 6, 2026 (Eugenia)"/>
        <d v="2025-12-17T00:00:00Z"/>
        <s v="8th jan, 2026"/>
        <s v="4th jan, 2026"/>
        <s v="8th jan,2026"/>
        <s v="not connected with pg"/>
        <s v="7th jan, 2026"/>
        <s v="not connected"/>
        <s v="3rd jan, 2026"/>
        <d v="2026-01-06T00:00:00Z"/>
        <d v="2026-01-04T00:00:00Z"/>
        <d v="2026-01-05T00:00:00Z"/>
        <d v="2025-12-24T00:00:00Z"/>
        <d v="2025-12-18T00:00:00Z"/>
        <s v="6th Jan 2026"/>
        <s v="10th Dec 2025"/>
        <s v="Early Dec 2025"/>
        <s v="6th jan , 2025"/>
        <d v="2025-11-01T00:00:00Z"/>
        <d v="2025-10-01T00:00:00Z"/>
        <d v="2025-12-01T00:00:00Z"/>
        <s v="26th December, 2025  "/>
        <s v="23rd december,2025"/>
        <s v="mid december"/>
        <s v="6th jan, 2026"/>
        <s v="20th december,2025"/>
        <s v="23rd december"/>
        <s v="5th jan,2025"/>
        <s v="December first week"/>
        <s v="6th jan , 2026"/>
        <s v="first week of december"/>
        <s v="5th jan,2026"/>
        <s v="dec last week"/>
        <s v="Jan 1st week"/>
        <s v="3rd jan,2026"/>
        <s v="6th jan,2026"/>
        <s v="2nd jan,2026"/>
        <s v="28th jan, 2026"/>
        <s v="5th Jan"/>
        <s v="Dec first week"/>
        <s v="5th Jan, 2026"/>
      </sharedItems>
    </cacheField>
    <cacheField name="Any meet setup " numFmtId="0">
      <sharedItems>
        <s v="Monthly meets"/>
        <s v="Meet set up 14th jan"/>
        <s v="Bi-weekly"/>
        <s v="Meet set up 13th jan (need to setup)"/>
        <s v="need to setup"/>
        <s v="Weekly (wed +thursday - dme)"/>
        <s v="Meet on next week (need to setup)"/>
        <s v="Weekly"/>
        <s v="on hold"/>
        <s v="Meet Set up on 16th jan (need to setup monthly)"/>
        <s v="need to setup again"/>
        <s v="Weekly on Tuesday"/>
        <s v="Biweekly on Wednesday"/>
        <s v="Biweekly on Friday"/>
        <s v="are ready to setup just sheets needs to be sent first"/>
        <s v="weekly on friday"/>
        <s v="biweekly on monday"/>
        <s v="montly on wednesday"/>
        <s v="biweekly "/>
        <s v="monthly on 2nd wednesday "/>
        <s v="dont want"/>
      </sharedItems>
    </cacheField>
    <cacheField name="EHR" numFmtId="0">
      <sharedItems>
        <s v="NO"/>
        <s v="Not Working Currently"/>
        <s v="YES"/>
        <s v="NA"/>
        <s v="YES "/>
      </sharedItems>
    </cacheField>
    <cacheField name="EHR Name" numFmtId="0">
      <sharedItems>
        <s v="-"/>
        <s v="Epic"/>
        <s v="(citrix)Epic"/>
        <s v="ECW"/>
        <s v="Unifimd(accesspad)"/>
        <s v="Athena"/>
        <s v="Practice Fusion"/>
        <s v="Dr chrono- by Ever health"/>
        <s v="citrix(Epic)"/>
        <s v="centricafoundaria(own ehr)"/>
        <s v="Elation"/>
        <s v="mednetworkx"/>
        <s v="Epic care"/>
        <s v="charm health"/>
        <s v="Health Fusion"/>
        <s v="practice fusion(tebra)"/>
        <s v="Tebra"/>
        <s v="Advanced MD"/>
        <s v="In house custom ehr"/>
        <s v="Edtech-IMR"/>
        <s v="Veradigm"/>
        <s v="Dr chrono by ever health"/>
        <s v="Automedsys"/>
        <s v="Glenwood system"/>
      </sharedItems>
    </cacheField>
    <cacheField name="Volume per month">
      <sharedItems containsDate="1" containsBlank="1" containsMixedTypes="1">
        <s v="-"/>
        <s v="100 docs"/>
        <s v="50 orders"/>
        <s v="60 charges"/>
        <s v="20 charges"/>
        <s v="15 orders"/>
        <s v="10 claims"/>
        <s v="18 claims"/>
        <s v="600 claims"/>
        <s v="500 claims"/>
        <n v="350.0"/>
        <s v="75-100"/>
        <s v="120claims/ 500 orders"/>
        <n v="40.0"/>
        <s v="2000backlog (monthly 30-40)"/>
        <n v="20.0"/>
        <d v="2026-12-20T00:00:00Z"/>
        <n v="60.0"/>
        <s v="300-400"/>
        <n v="100.0"/>
        <m/>
        <n v="240.0"/>
        <n v="250.0"/>
        <n v="50.0"/>
        <s v="7claims/ 20 docs"/>
        <s v="60-65"/>
        <s v="100(300 backlog)"/>
      </sharedItems>
    </cacheField>
    <cacheField name="Workflow" numFmtId="0">
      <sharedItems>
        <s v="-"/>
        <s v="Redirection from the chart"/>
        <s v="DME"/>
        <s v="claims"/>
        <s v="DME,claims"/>
        <s v="Claims (done by frank)"/>
        <s v="upload orders from EHR to BO"/>
        <s v="Upload docs from fax to BO; send back docs from BO to google drive"/>
        <s v="Claims; faxes upload from PG EHR to BO (we have faxbox access);Upload SIgned order back from BO to EHR"/>
        <s v="upload Faxes from ehr to BO"/>
        <s v="add communication on BO after billing sheet"/>
        <s v="upload docs from drive link to BO"/>
        <s v="Upload docs from Bo to ehr"/>
        <s v="Doc upload from Ehr to BO"/>
        <s v="Docs upload from BO to EHR"/>
        <s v="Doc from BO to EHR"/>
        <s v="claims, order upload from drive to BO"/>
      </sharedItems>
    </cacheField>
    <cacheField name="Internal Allocation " numFmtId="0">
      <sharedItems containsBlank="1">
        <s v="-"/>
        <s v="Pratibha (FTE)"/>
        <s v="DME team"/>
        <s v="Not allocated"/>
        <m/>
        <s v="Frank"/>
        <s v="Legacy Team"/>
        <s v="Vedant,Anushka"/>
        <s v="Srubhi"/>
        <s v="Automated"/>
        <s v="Madilyn Team"/>
        <s v="Maidlyn Team"/>
      </sharedItems>
    </cacheField>
    <cacheField name="Automation Feasibility " numFmtId="0">
      <sharedItems>
        <s v="-"/>
        <s v="Not feasible"/>
        <s v="can be automated"/>
        <s v="Not req"/>
        <s v="cannot be automated"/>
        <s v="can try"/>
        <s v="can try to build a bot "/>
      </sharedItems>
    </cacheField>
    <cacheField name="Automation Status " numFmtId="0">
      <sharedItems>
        <s v="-"/>
        <s v="Not Done"/>
        <s v="In testing"/>
        <s v="Done"/>
      </sharedItems>
    </cacheField>
    <cacheField name="Additional Comments" numFmtId="0">
      <sharedItems>
        <s v="outstanding reports needs to go on time"/>
        <s v="need to discuss the DA workflow with related to other services with them"/>
        <s v="need the outstanding reports ASAP"/>
        <s v="-"/>
        <s v="need to have a word with Kate "/>
        <s v="need to get on a meet with her and confirm the timing"/>
        <s v="claims batch needs to be closed properly"/>
        <s v="Urgent:- need to connect with them ASAP"/>
        <s v="need to get a clarity on invoices as pg is asking it."/>
        <s v="need to get the meet setup with him ASAP"/>
        <s v="Urgent:- need to meet them ASAP"/>
        <s v="need to connect with JAI"/>
        <s v="need to get the access in the EHR to do the claims"/>
        <s v="need to get different login while getting the EHR creds"/>
        <s v="need to get the number changed for otp of EHR (current: Sanju)"/>
        <s v="need to get the number changed for otp of EHR (current: Vedansh)"/>
        <s v="need to get a fresh agency list from them, over 70 orders are in change request."/>
        <s v="have to complete all the tasks"/>
        <s v="need to get the ehr cred reset ASAP"/>
        <s v="need the sheets ASAP"/>
        <s v=" need to send the sheets"/>
        <s v="From JAN 2026 we can start with CPO"/>
        <s v="currently using just a signing tool"/>
        <s v="need to setup a meet before sending them the sheets"/>
        <s v="need the sheets"/>
        <s v="need the doc prep "/>
        <s v="signed contract on 9th JAN (need sheets tho)"/>
        <s v="need to connect with cindy on monday"/>
        <s v="need to capture CPO (dont generate CCN for them)"/>
        <s v="Need to setup meet on priority "/>
        <s v="Need to tell abt DA"/>
        <s v="Need to find there POC"/>
        <s v="meet setup upcoming week (call done)"/>
        <s v="need to connect with them "/>
        <s v="need to call them again this week"/>
        <s v="number is fixed, need to call them again"/>
        <s v="have to reach out to there agencies, (need to have a convo about outstanding report)"/>
        <s v="need to send them sheets on priority "/>
        <s v="need to fix there number"/>
        <s v="need to connect with them ASAP"/>
        <s v="need to get the on BO too for their audit, have to get the EHR from ehr company "/>
        <s v="from jan need to send the sheet every 2 weeks"/>
        <s v="we need to connect with them "/>
        <s v="we have send them the invoices"/>
        <s v="we have to start with rpm "/>
        <s v="have to do the retro active billing"/>
        <s v="we have start the implementation"/>
        <s v="need weekly reports of docs uploade to ehr"/>
        <s v="need to do the retro active billing and connect with them ASAP"/>
        <s v="need to send them sheets (pg is asking for it)"/>
        <s v="need to pitch in for DME again and do the home health billing better"/>
        <s v="need to complete the calims of aug on priority as pg is checking them now"/>
        <s v=" needs to discuss about outstanding report, agencies and couple of physicians not signing( approx 30)"/>
        <s v="someone needs to connect urgently."/>
      </sharedItems>
    </cacheField>
    <cacheField name="PGs health status" numFmtId="0">
      <sharedItems>
        <s v="Fair"/>
        <s v="very disappointment"/>
        <s v="at risk"/>
        <s v="Good"/>
        <s v="need to start acquistion again"/>
        <s v="might loose very less activity"/>
        <s v="not called"/>
      </sharedItems>
    </cacheField>
    <cacheField name="Jan' 2026" numFmtId="0">
      <sharedItems containsBlank="1">
        <m/>
        <s v="dont send them sheets"/>
        <s v="Not Applicable"/>
      </sharedItems>
    </cacheField>
    <cacheField name="Jan' 2026 score" numFmtId="0">
      <sharedItems containsString="0" containsBlank="1" containsNumber="1" containsInteger="1">
        <n v="0.0"/>
        <n v="1.0"/>
        <m/>
      </sharedItems>
    </cacheField>
    <cacheField name="Dec '25" numFmtId="0">
      <sharedItems>
        <s v="yet to start with"/>
        <s v="dont send them sheets"/>
        <s v="working"/>
        <s v="under rework"/>
        <s v="Done with claims"/>
        <s v="sent to client"/>
        <s v="yet to be audited"/>
        <s v="Not Applicable"/>
      </sharedItems>
    </cacheField>
    <cacheField name="Dec' 25 Score" numFmtId="0">
      <sharedItems containsSemiMixedTypes="0" containsString="0" containsNumber="1" containsInteger="1">
        <n v="0.0"/>
        <n v="1.0"/>
      </sharedItems>
    </cacheField>
    <cacheField name="Nov' 25" numFmtId="0">
      <sharedItems>
        <s v="working"/>
        <s v="dont send them sheets"/>
        <s v="sent to client"/>
        <s v="doing the claims"/>
        <s v="yet to start with"/>
        <s v="Done with claims"/>
        <s v="under rework"/>
        <s v="sent to Hemant"/>
        <s v="yet to be audited"/>
        <s v="dont want the sheets"/>
        <s v="Not Applicable"/>
      </sharedItems>
    </cacheField>
    <cacheField name="Nov' 25 Score" numFmtId="0">
      <sharedItems containsSemiMixedTypes="0" containsString="0" containsNumber="1" containsInteger="1">
        <n v="0.0"/>
        <n v="1.0"/>
      </sharedItems>
    </cacheField>
    <cacheField name="Oct ' 25" numFmtId="0">
      <sharedItems>
        <s v="under audit"/>
        <s v="dont send them sheets"/>
        <s v="sent to client"/>
        <s v="Done with claims"/>
        <s v="sent for AI audit"/>
        <s v="doing the claims"/>
        <s v="under rework"/>
        <s v="yet to start with"/>
        <s v="working"/>
        <s v="sent to Hemant"/>
        <s v="yet to be audited"/>
        <s v="Not Applicable"/>
      </sharedItems>
    </cacheField>
    <cacheField name="Oct' 25 Score" numFmtId="0">
      <sharedItems containsSemiMixedTypes="0" containsString="0" containsNumber="1" containsInteger="1">
        <n v="0.0"/>
        <n v="1.0"/>
      </sharedItems>
    </cacheField>
    <cacheField name="Sept' 25" numFmtId="0">
      <sharedItems>
        <s v="under rework"/>
        <s v="dont send them sheets"/>
        <s v="sent to client"/>
        <s v="Done with claims"/>
        <s v="not able to bill the patients"/>
        <s v="working"/>
        <s v="yet to start with"/>
        <s v="yet to be audited"/>
        <s v="Not Applicable"/>
        <s v="sent for AI audit"/>
        <s v="sent to Hemant"/>
      </sharedItems>
    </cacheField>
    <cacheField name="Sept' 25 Score" numFmtId="0">
      <sharedItems containsSemiMixedTypes="0" containsString="0" containsNumber="1" containsInteger="1">
        <n v="0.0"/>
        <n v="1.0"/>
      </sharedItems>
    </cacheField>
    <cacheField name="Aug' 25" numFmtId="0">
      <sharedItems>
        <s v="sent to client"/>
        <s v="dont send them sheets"/>
        <s v="Done with claims"/>
        <s v="not able to bill the patients"/>
        <s v="under rework"/>
        <s v="yet to start with"/>
        <s v="Not Applicable"/>
        <s v="yet to be audited"/>
        <s v="working"/>
        <s v="sent to Hemant"/>
      </sharedItems>
    </cacheField>
    <cacheField name="Aug' 25 Score" numFmtId="0">
      <sharedItems containsSemiMixedTypes="0" containsString="0" containsNumber="1" containsInteger="1">
        <n v="1.0"/>
        <n v="0.0"/>
      </sharedItems>
    </cacheField>
    <cacheField name="JULY'25" numFmtId="0">
      <sharedItems>
        <s v="sent to client"/>
        <s v="dont send them sheets"/>
        <s v="Done with claims"/>
        <s v="yet to start with"/>
        <s v="Not Applicable"/>
        <s v="working"/>
      </sharedItems>
    </cacheField>
    <cacheField name="July' 25 Score" numFmtId="0">
      <sharedItems containsSemiMixedTypes="0" containsString="0" containsNumber="1" containsInteger="1">
        <n v="1.0"/>
        <n v="0.0"/>
      </sharedItems>
    </cacheField>
    <cacheField name="June' 25" numFmtId="0">
      <sharedItems>
        <s v="sent to client"/>
        <s v="dont send them sheets"/>
        <s v="Done with claims"/>
        <s v="yet to start with"/>
        <s v="Not Applicable"/>
      </sharedItems>
    </cacheField>
    <cacheField name="June' 25 Score" numFmtId="0">
      <sharedItems containsSemiMixedTypes="0" containsString="0" containsNumber="1" containsInteger="1">
        <n v="1.0"/>
        <n v="0.0"/>
      </sharedItems>
    </cacheField>
    <cacheField name="MAY'25" numFmtId="0">
      <sharedItems>
        <s v="sent to client"/>
        <s v="dont send them sheets"/>
        <s v="Done with claims"/>
        <s v="yet to be audited"/>
        <s v="Not Applicable"/>
        <s v="yet to start with"/>
      </sharedItems>
    </cacheField>
    <cacheField name="May' 25 Score" numFmtId="0">
      <sharedItems containsSemiMixedTypes="0" containsString="0" containsNumber="1" containsInteger="1">
        <n v="1.0"/>
        <n v="0.0"/>
      </sharedItems>
    </cacheField>
    <cacheField name="APRIL'25" numFmtId="0">
      <sharedItems>
        <s v="sent to client"/>
        <s v="dont send them sheets"/>
        <s v="Done with claims"/>
        <s v="yet to be audited"/>
        <s v="Not Applicable"/>
        <s v="under rework"/>
        <s v="yet to start with"/>
      </sharedItems>
    </cacheField>
    <cacheField name="April' 25 Score" numFmtId="0">
      <sharedItems containsSemiMixedTypes="0" containsString="0" containsNumber="1" containsInteger="1">
        <n v="1.0"/>
        <n v="0.0"/>
      </sharedItems>
    </cacheField>
    <cacheField name="March" numFmtId="0">
      <sharedItems>
        <s v="sent to client"/>
        <s v="dont send them sheets"/>
        <s v="Not Applicable"/>
        <s v="Done with claims"/>
        <s v="under rework"/>
        <s v="yet to start with"/>
      </sharedItems>
    </cacheField>
    <cacheField name="March' 25 Score" numFmtId="0">
      <sharedItems containsSemiMixedTypes="0" containsString="0" containsNumber="1" containsInteger="1">
        <n v="1.0"/>
        <n v="0.0"/>
      </sharedItems>
    </cacheField>
    <cacheField name="FEB'25" numFmtId="0">
      <sharedItems>
        <s v="sent to client"/>
        <s v="dont send them sheets"/>
        <s v="Not Applicable"/>
        <s v="Done with claims"/>
        <s v="yet to start with"/>
      </sharedItems>
    </cacheField>
    <cacheField name="Feb' 25 Score" numFmtId="0">
      <sharedItems containsSemiMixedTypes="0" containsString="0" containsNumber="1" containsInteger="1">
        <n v="1.0"/>
        <n v="0.0"/>
      </sharedItems>
    </cacheField>
    <cacheField name="JAN' 25" numFmtId="0">
      <sharedItems>
        <s v="sent to client"/>
        <s v="dont send them sheets"/>
        <s v="Not Applicable"/>
        <s v="Done with claims"/>
        <s v="yet to start with"/>
      </sharedItems>
    </cacheField>
    <cacheField name="JAN' 25 Score" numFmtId="0">
      <sharedItems containsSemiMixedTypes="0" containsString="0" containsNumber="1" containsInteger="1">
        <n v="1.0"/>
        <n v="0.0"/>
      </sharedItems>
    </cacheField>
    <cacheField name="current " numFmtId="0">
      <sharedItems containsDate="1" containsString="0" containsBlank="1">
        <m/>
        <d v="2026-07-12T00:00:00Z"/>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cores" cacheId="0" dataCaption="" rowGrandTotals="0" compact="0" compactData="0">
  <location ref="A1:M5" firstHeaderRow="0" firstDataRow="2" firstDataCol="0"/>
  <pivotFields>
    <pivotField name="P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ame="Divisional Group" axis="axisRow" compact="0" outline="0" multipleItemSelectionAllowed="1" showAll="0" sortType="ascending">
      <items>
        <item x="2"/>
        <item x="0"/>
        <item x="1"/>
        <item x="3"/>
        <item t="default"/>
      </items>
    </pivotField>
    <pivotField name="MSA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Last Connect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Any meet setup "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EHR" compact="0" outline="0" multipleItemSelectionAllowed="1" showAll="0">
      <items>
        <item x="0"/>
        <item x="1"/>
        <item x="2"/>
        <item x="3"/>
        <item x="4"/>
        <item t="default"/>
      </items>
    </pivotField>
    <pivotField name="EH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Volume per 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Workflow" compact="0" outline="0" multipleItemSelectionAllowed="1" showAll="0">
      <items>
        <item x="0"/>
        <item x="1"/>
        <item x="2"/>
        <item x="3"/>
        <item x="4"/>
        <item x="5"/>
        <item x="6"/>
        <item x="7"/>
        <item x="8"/>
        <item x="9"/>
        <item x="10"/>
        <item x="11"/>
        <item x="12"/>
        <item x="13"/>
        <item x="14"/>
        <item x="15"/>
        <item x="16"/>
        <item t="default"/>
      </items>
    </pivotField>
    <pivotField name="Internal Allocation " compact="0" outline="0" multipleItemSelectionAllowed="1" showAll="0">
      <items>
        <item x="0"/>
        <item x="1"/>
        <item x="2"/>
        <item x="3"/>
        <item x="4"/>
        <item x="5"/>
        <item x="6"/>
        <item x="7"/>
        <item x="8"/>
        <item x="9"/>
        <item x="10"/>
        <item x="11"/>
        <item t="default"/>
      </items>
    </pivotField>
    <pivotField name="Automation Feasibility " compact="0" outline="0" multipleItemSelectionAllowed="1" showAll="0">
      <items>
        <item x="0"/>
        <item x="1"/>
        <item x="2"/>
        <item x="3"/>
        <item x="4"/>
        <item x="5"/>
        <item x="6"/>
        <item t="default"/>
      </items>
    </pivotField>
    <pivotField name="Automation Status " compact="0" outline="0" multipleItemSelectionAllowed="1" showAll="0">
      <items>
        <item x="0"/>
        <item x="1"/>
        <item x="2"/>
        <item x="3"/>
        <item t="default"/>
      </items>
    </pivotField>
    <pivotField name="Additional 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PGs health status" compact="0" outline="0" multipleItemSelectionAllowed="1" showAll="0">
      <items>
        <item x="0"/>
        <item x="1"/>
        <item x="2"/>
        <item x="3"/>
        <item x="4"/>
        <item x="5"/>
        <item x="6"/>
        <item t="default"/>
      </items>
    </pivotField>
    <pivotField name="Jan' 2026" compact="0" outline="0" multipleItemSelectionAllowed="1" showAll="0">
      <items>
        <item x="0"/>
        <item x="1"/>
        <item x="2"/>
        <item t="default"/>
      </items>
    </pivotField>
    <pivotField name="Jan' 2026 score" compact="0" outline="0" multipleItemSelectionAllowed="1" showAll="0">
      <items>
        <item x="0"/>
        <item x="1"/>
        <item x="2"/>
        <item t="default"/>
      </items>
    </pivotField>
    <pivotField name="Dec '25" compact="0" outline="0" multipleItemSelectionAllowed="1" showAll="0">
      <items>
        <item x="0"/>
        <item x="1"/>
        <item x="2"/>
        <item x="3"/>
        <item x="4"/>
        <item x="5"/>
        <item x="6"/>
        <item x="7"/>
        <item t="default"/>
      </items>
    </pivotField>
    <pivotField name="Dec' 25 Score" dataField="1" compact="0" outline="0" multipleItemSelectionAllowed="1" showAll="0">
      <items>
        <item x="0"/>
        <item x="1"/>
        <item t="default"/>
      </items>
    </pivotField>
    <pivotField name="Nov' 25" compact="0" outline="0" multipleItemSelectionAllowed="1" showAll="0">
      <items>
        <item x="0"/>
        <item x="1"/>
        <item x="2"/>
        <item x="3"/>
        <item x="4"/>
        <item x="5"/>
        <item x="6"/>
        <item x="7"/>
        <item x="8"/>
        <item x="9"/>
        <item x="10"/>
        <item t="default"/>
      </items>
    </pivotField>
    <pivotField name="Nov' 25 Score" dataField="1" compact="0" outline="0" multipleItemSelectionAllowed="1" showAll="0">
      <items>
        <item x="0"/>
        <item x="1"/>
        <item t="default"/>
      </items>
    </pivotField>
    <pivotField name="Oct ' 25" compact="0" outline="0" multipleItemSelectionAllowed="1" showAll="0">
      <items>
        <item x="0"/>
        <item x="1"/>
        <item x="2"/>
        <item x="3"/>
        <item x="4"/>
        <item x="5"/>
        <item x="6"/>
        <item x="7"/>
        <item x="8"/>
        <item x="9"/>
        <item x="10"/>
        <item x="11"/>
        <item t="default"/>
      </items>
    </pivotField>
    <pivotField name="Oct' 25 Score" dataField="1" compact="0" outline="0" multipleItemSelectionAllowed="1" showAll="0">
      <items>
        <item x="0"/>
        <item x="1"/>
        <item t="default"/>
      </items>
    </pivotField>
    <pivotField name="Sept' 25" compact="0" outline="0" multipleItemSelectionAllowed="1" showAll="0">
      <items>
        <item x="0"/>
        <item x="1"/>
        <item x="2"/>
        <item x="3"/>
        <item x="4"/>
        <item x="5"/>
        <item x="6"/>
        <item x="7"/>
        <item x="8"/>
        <item x="9"/>
        <item x="10"/>
        <item t="default"/>
      </items>
    </pivotField>
    <pivotField name="Sept' 25 Score" dataField="1" compact="0" outline="0" multipleItemSelectionAllowed="1" showAll="0">
      <items>
        <item x="0"/>
        <item x="1"/>
        <item t="default"/>
      </items>
    </pivotField>
    <pivotField name="Aug' 25" compact="0" outline="0" multipleItemSelectionAllowed="1" showAll="0">
      <items>
        <item x="0"/>
        <item x="1"/>
        <item x="2"/>
        <item x="3"/>
        <item x="4"/>
        <item x="5"/>
        <item x="6"/>
        <item x="7"/>
        <item x="8"/>
        <item x="9"/>
        <item t="default"/>
      </items>
    </pivotField>
    <pivotField name="Aug' 25 Score" dataField="1" compact="0" outline="0" multipleItemSelectionAllowed="1" showAll="0">
      <items>
        <item x="0"/>
        <item x="1"/>
        <item t="default"/>
      </items>
    </pivotField>
    <pivotField name="JULY'25" compact="0" outline="0" multipleItemSelectionAllowed="1" showAll="0">
      <items>
        <item x="0"/>
        <item x="1"/>
        <item x="2"/>
        <item x="3"/>
        <item x="4"/>
        <item x="5"/>
        <item t="default"/>
      </items>
    </pivotField>
    <pivotField name="July' 25 Score" dataField="1" compact="0" outline="0" multipleItemSelectionAllowed="1" showAll="0">
      <items>
        <item x="0"/>
        <item x="1"/>
        <item t="default"/>
      </items>
    </pivotField>
    <pivotField name="June' 25" compact="0" outline="0" multipleItemSelectionAllowed="1" showAll="0">
      <items>
        <item x="0"/>
        <item x="1"/>
        <item x="2"/>
        <item x="3"/>
        <item x="4"/>
        <item t="default"/>
      </items>
    </pivotField>
    <pivotField name="June' 25 Score" dataField="1" compact="0" outline="0" multipleItemSelectionAllowed="1" showAll="0">
      <items>
        <item x="0"/>
        <item x="1"/>
        <item t="default"/>
      </items>
    </pivotField>
    <pivotField name="MAY'25" compact="0" outline="0" multipleItemSelectionAllowed="1" showAll="0">
      <items>
        <item x="0"/>
        <item x="1"/>
        <item x="2"/>
        <item x="3"/>
        <item x="4"/>
        <item x="5"/>
        <item t="default"/>
      </items>
    </pivotField>
    <pivotField name="May' 25 Score" dataField="1" compact="0" outline="0" multipleItemSelectionAllowed="1" showAll="0">
      <items>
        <item x="0"/>
        <item x="1"/>
        <item t="default"/>
      </items>
    </pivotField>
    <pivotField name="APRIL'25" compact="0" outline="0" multipleItemSelectionAllowed="1" showAll="0">
      <items>
        <item x="0"/>
        <item x="1"/>
        <item x="2"/>
        <item x="3"/>
        <item x="4"/>
        <item x="5"/>
        <item x="6"/>
        <item t="default"/>
      </items>
    </pivotField>
    <pivotField name="April' 25 Score" dataField="1" compact="0" outline="0" multipleItemSelectionAllowed="1" showAll="0">
      <items>
        <item x="0"/>
        <item x="1"/>
        <item t="default"/>
      </items>
    </pivotField>
    <pivotField name="March" compact="0" outline="0" multipleItemSelectionAllowed="1" showAll="0">
      <items>
        <item x="0"/>
        <item x="1"/>
        <item x="2"/>
        <item x="3"/>
        <item x="4"/>
        <item x="5"/>
        <item t="default"/>
      </items>
    </pivotField>
    <pivotField name="March' 25 Score" dataField="1" compact="0" outline="0" multipleItemSelectionAllowed="1" showAll="0">
      <items>
        <item x="0"/>
        <item x="1"/>
        <item t="default"/>
      </items>
    </pivotField>
    <pivotField name="FEB'25" compact="0" outline="0" multipleItemSelectionAllowed="1" showAll="0">
      <items>
        <item x="0"/>
        <item x="1"/>
        <item x="2"/>
        <item x="3"/>
        <item x="4"/>
        <item t="default"/>
      </items>
    </pivotField>
    <pivotField name="Feb' 25 Score" dataField="1" compact="0" outline="0" multipleItemSelectionAllowed="1" showAll="0">
      <items>
        <item x="0"/>
        <item x="1"/>
        <item t="default"/>
      </items>
    </pivotField>
    <pivotField name="JAN' 25" compact="0" outline="0" multipleItemSelectionAllowed="1" showAll="0">
      <items>
        <item x="0"/>
        <item x="1"/>
        <item x="2"/>
        <item x="3"/>
        <item x="4"/>
        <item t="default"/>
      </items>
    </pivotField>
    <pivotField name="JAN' 25 Score" dataField="1" compact="0" outline="0" multipleItemSelectionAllowed="1" showAll="0">
      <items>
        <item x="0"/>
        <item x="1"/>
        <item t="default"/>
      </items>
    </pivotField>
    <pivotField name="current " compact="0" outline="0" multipleItemSelectionAllowed="1" showAll="0">
      <items>
        <item x="0"/>
        <item x="1"/>
        <item t="default"/>
      </items>
    </pivotField>
  </pivotFields>
  <rowFields>
    <field x="1"/>
  </rowFields>
  <colFields>
    <field x="-2"/>
  </colFields>
  <dataFields>
    <dataField name="AVG of JAN' 25 Score" fld="39" subtotal="average" baseField="0"/>
    <dataField name="AVG of Feb' 25 Score" fld="37" subtotal="average" baseField="0"/>
    <dataField name="AVERAGE of March' 25 Score" fld="35" subtotal="average" baseField="0"/>
    <dataField name="AVGof April' 25 Score" fld="33" subtotal="average" baseField="0"/>
    <dataField name="AVG of May' 25 Score" fld="31" subtotal="average" baseField="0"/>
    <dataField name="AVG of June' 25 Score" fld="29" subtotal="average" baseField="0"/>
    <dataField name="AVG of July' 25 Score" fld="27" subtotal="average" baseField="0"/>
    <dataField name="AVG of Aug' 25 Score" fld="25" subtotal="average" baseField="0"/>
    <dataField name="AVG of Sept' 25 Score" fld="23" subtotal="average" baseField="0"/>
    <dataField name="AVG of Oct' 25 Score" fld="21" subtotal="average" baseField="0"/>
    <dataField name="AVG of Nov' 25 Score" fld="19" subtotal="average" baseField="0"/>
    <dataField name="AVG of Dec' 25 Score" fld="17"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13"/>
    <col customWidth="1" min="2" max="2" width="18.63"/>
    <col customWidth="1" min="3" max="3" width="18.5"/>
    <col customWidth="1" min="4" max="5" width="42.63"/>
    <col customWidth="1" min="6" max="7" width="36.63"/>
    <col customWidth="1" min="8" max="8" width="24.25"/>
    <col customWidth="1" min="9" max="9" width="92.13"/>
    <col customWidth="1" min="10" max="11" width="29.25"/>
    <col customWidth="1" min="12" max="12" width="35.13"/>
    <col customWidth="1" min="13" max="13" width="64.38"/>
    <col customWidth="1" min="14" max="14" width="26.25"/>
    <col customWidth="1" min="15" max="18" width="29.13"/>
    <col customWidth="1" min="19" max="20" width="24.13"/>
    <col customWidth="1" min="21" max="22" width="24.63"/>
    <col customWidth="1" min="23" max="24" width="25.63"/>
    <col customWidth="1" min="25" max="26" width="23.38"/>
    <col customWidth="1" min="27" max="28" width="17.75"/>
    <col customWidth="1" min="29" max="30" width="19.25"/>
    <col customWidth="1" min="31" max="31" width="15.88"/>
    <col customWidth="1" min="32" max="34" width="20.13"/>
    <col customWidth="1" min="35" max="36" width="15.75"/>
    <col customWidth="1" min="37" max="37" width="17.38"/>
    <col customWidth="1" min="38" max="40" width="16.7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3" t="s">
        <v>17</v>
      </c>
      <c r="S1" s="1" t="s">
        <v>18</v>
      </c>
      <c r="T1" s="3" t="s">
        <v>19</v>
      </c>
      <c r="U1" s="1" t="s">
        <v>20</v>
      </c>
      <c r="V1" s="3" t="s">
        <v>21</v>
      </c>
      <c r="W1" s="1" t="s">
        <v>22</v>
      </c>
      <c r="X1" s="3" t="s">
        <v>23</v>
      </c>
      <c r="Y1" s="1" t="s">
        <v>24</v>
      </c>
      <c r="Z1" s="3" t="s">
        <v>25</v>
      </c>
      <c r="AA1" s="1" t="s">
        <v>26</v>
      </c>
      <c r="AB1" s="3" t="s">
        <v>27</v>
      </c>
      <c r="AC1" s="1" t="s">
        <v>28</v>
      </c>
      <c r="AD1" s="3" t="s">
        <v>29</v>
      </c>
      <c r="AE1" s="1" t="s">
        <v>30</v>
      </c>
      <c r="AF1" s="3" t="s">
        <v>31</v>
      </c>
      <c r="AG1" s="1" t="s">
        <v>32</v>
      </c>
      <c r="AH1" s="3" t="s">
        <v>33</v>
      </c>
      <c r="AI1" s="1" t="s">
        <v>34</v>
      </c>
      <c r="AJ1" s="3" t="s">
        <v>35</v>
      </c>
      <c r="AK1" s="1" t="s">
        <v>36</v>
      </c>
      <c r="AL1" s="2" t="s">
        <v>37</v>
      </c>
      <c r="AM1" s="1" t="s">
        <v>38</v>
      </c>
      <c r="AN1" s="2" t="s">
        <v>39</v>
      </c>
      <c r="AO1" s="2" t="s">
        <v>40</v>
      </c>
    </row>
    <row r="2">
      <c r="A2" s="4" t="s">
        <v>41</v>
      </c>
      <c r="B2" s="5" t="s">
        <v>42</v>
      </c>
      <c r="C2" s="5" t="s">
        <v>43</v>
      </c>
      <c r="D2" s="6">
        <v>46000.0</v>
      </c>
      <c r="E2" s="5" t="s">
        <v>44</v>
      </c>
      <c r="F2" s="5" t="s">
        <v>45</v>
      </c>
      <c r="G2" s="5" t="s">
        <v>46</v>
      </c>
      <c r="H2" s="5" t="s">
        <v>46</v>
      </c>
      <c r="I2" s="5" t="s">
        <v>46</v>
      </c>
      <c r="J2" s="5" t="s">
        <v>46</v>
      </c>
      <c r="K2" s="5" t="s">
        <v>46</v>
      </c>
      <c r="L2" s="5" t="s">
        <v>46</v>
      </c>
      <c r="M2" s="4" t="s">
        <v>47</v>
      </c>
      <c r="N2" s="4" t="s">
        <v>48</v>
      </c>
      <c r="O2" s="4"/>
      <c r="P2" s="4">
        <v>0.0</v>
      </c>
      <c r="Q2" s="4" t="s">
        <v>49</v>
      </c>
      <c r="R2" s="7">
        <f>IFERROR(__xludf.DUMMYFUNCTION("IF(
  OR(
    TRIM(LOWER(Q2))=""sent to client"",
    REGEXMATCH(TRIM(LOWER(Q2)),""^done\b"")
  ),
  1,
  0
)
"),0.0)</f>
        <v>0</v>
      </c>
      <c r="S2" s="4" t="s">
        <v>50</v>
      </c>
      <c r="T2" s="7">
        <f>IFERROR(__xludf.DUMMYFUNCTION("IF(
  OR(
    TRIM(LOWER(S2))=""sent to client"",
    REGEXMATCH(TRIM(LOWER(S2)),""^done\b"")
  ),
  1,
  0
)
"),0.0)</f>
        <v>0</v>
      </c>
      <c r="U2" s="4" t="s">
        <v>51</v>
      </c>
      <c r="V2" s="7">
        <f>IFERROR(__xludf.DUMMYFUNCTION("IF(
  OR(
    TRIM(LOWER(U2))=""sent to client"",
    REGEXMATCH(TRIM(LOWER(U2)),""^done\b"")
  ),
  1,
  0
)
"),0.0)</f>
        <v>0</v>
      </c>
      <c r="W2" s="4" t="s">
        <v>52</v>
      </c>
      <c r="X2" s="7">
        <f>IFERROR(__xludf.DUMMYFUNCTION("IF(
  OR(
    TRIM(LOWER(W2))=""sent to client"",
    REGEXMATCH(TRIM(LOWER(W2)),""^done\b"")
  ),
  1,
  0
)
"),0.0)</f>
        <v>0</v>
      </c>
      <c r="Y2" s="4" t="s">
        <v>53</v>
      </c>
      <c r="Z2" s="7">
        <f>IFERROR(__xludf.DUMMYFUNCTION("IF(
  OR(
    TRIM(LOWER(Y2))=""sent to client"",
    REGEXMATCH(TRIM(LOWER(Y2)),""^done\b"")
  ),
  1,
  0
)
"),1.0)</f>
        <v>1</v>
      </c>
      <c r="AA2" s="4" t="s">
        <v>53</v>
      </c>
      <c r="AB2" s="7">
        <f>IFERROR(__xludf.DUMMYFUNCTION("IF(
  OR(
    TRIM(LOWER(AA2))=""sent to client"",
    REGEXMATCH(TRIM(LOWER(AA2)),""^done\b"")
  ),
  1,
  0
)
"),1.0)</f>
        <v>1</v>
      </c>
      <c r="AC2" s="4" t="s">
        <v>53</v>
      </c>
      <c r="AD2" s="7">
        <f>IFERROR(__xludf.DUMMYFUNCTION("IF(
  OR(
    TRIM(LOWER(AC2))=""sent to client"",
    REGEXMATCH(TRIM(LOWER(AC2)),""^done\b"")
  ),
  1,
  0
)
"),1.0)</f>
        <v>1</v>
      </c>
      <c r="AE2" s="4" t="s">
        <v>53</v>
      </c>
      <c r="AF2" s="7">
        <f>IFERROR(__xludf.DUMMYFUNCTION("IF(
  OR(
    TRIM(LOWER(AE2))=""sent to client"",
    REGEXMATCH(TRIM(LOWER(AE2)),""^done\b"")
  ),
  1,
  0
)
"),1.0)</f>
        <v>1</v>
      </c>
      <c r="AG2" s="4" t="s">
        <v>53</v>
      </c>
      <c r="AH2" s="7">
        <f>IFERROR(__xludf.DUMMYFUNCTION("IF(
  OR(
    TRIM(LOWER(AG2))=""sent to client"",
    REGEXMATCH(TRIM(LOWER(AG2)),""^done\b"")
  ),
  1,
  0
)
"),1.0)</f>
        <v>1</v>
      </c>
      <c r="AI2" s="4" t="s">
        <v>53</v>
      </c>
      <c r="AJ2" s="7">
        <f>IFERROR(__xludf.DUMMYFUNCTION("IF(
  OR(
    TRIM(LOWER(AI2))=""sent to client"",
    REGEXMATCH(TRIM(LOWER(AI2)),""^done\b"")
  ),
  1,
  0
)
"),1.0)</f>
        <v>1</v>
      </c>
      <c r="AK2" s="4" t="s">
        <v>53</v>
      </c>
      <c r="AL2" s="8">
        <f>IFERROR(__xludf.DUMMYFUNCTION("IF(
  OR(
    TRIM(LOWER(AK2))=""sent to client"",
    REGEXMATCH(TRIM(LOWER(AK2)),""^done\b"")
  ),
  1,
  0
)
"),1.0)</f>
        <v>1</v>
      </c>
      <c r="AM2" s="4" t="s">
        <v>53</v>
      </c>
      <c r="AN2" s="8">
        <f>IFERROR(__xludf.DUMMYFUNCTION("IF(
  OR(
    TRIM(LOWER(AM2))=""sent to client"",
    REGEXMATCH(TRIM(LOWER(AM2)),""^done\b"")
  ),
  1,
  0
)
"),1.0)</f>
        <v>1</v>
      </c>
      <c r="AO2" s="9"/>
    </row>
    <row r="3">
      <c r="A3" s="10" t="s">
        <v>54</v>
      </c>
      <c r="B3" s="11" t="s">
        <v>42</v>
      </c>
      <c r="C3" s="11" t="s">
        <v>43</v>
      </c>
      <c r="D3" s="12">
        <v>46014.0</v>
      </c>
      <c r="E3" s="11" t="s">
        <v>55</v>
      </c>
      <c r="F3" s="11" t="s">
        <v>45</v>
      </c>
      <c r="G3" s="11" t="s">
        <v>46</v>
      </c>
      <c r="H3" s="11" t="s">
        <v>46</v>
      </c>
      <c r="I3" s="11" t="s">
        <v>46</v>
      </c>
      <c r="J3" s="11" t="s">
        <v>46</v>
      </c>
      <c r="K3" s="11" t="s">
        <v>46</v>
      </c>
      <c r="L3" s="11" t="s">
        <v>46</v>
      </c>
      <c r="M3" s="10" t="s">
        <v>56</v>
      </c>
      <c r="N3" s="10" t="s">
        <v>48</v>
      </c>
      <c r="O3" s="10" t="s">
        <v>57</v>
      </c>
      <c r="P3" s="10">
        <v>1.0</v>
      </c>
      <c r="Q3" s="10" t="s">
        <v>57</v>
      </c>
      <c r="R3" s="13">
        <v>1.0</v>
      </c>
      <c r="S3" s="10" t="s">
        <v>57</v>
      </c>
      <c r="T3" s="13">
        <v>1.0</v>
      </c>
      <c r="U3" s="10" t="s">
        <v>57</v>
      </c>
      <c r="V3" s="13">
        <v>1.0</v>
      </c>
      <c r="W3" s="10" t="s">
        <v>57</v>
      </c>
      <c r="X3" s="13">
        <v>1.0</v>
      </c>
      <c r="Y3" s="10" t="s">
        <v>57</v>
      </c>
      <c r="Z3" s="13">
        <v>1.0</v>
      </c>
      <c r="AA3" s="10" t="s">
        <v>57</v>
      </c>
      <c r="AB3" s="13">
        <v>1.0</v>
      </c>
      <c r="AC3" s="10" t="s">
        <v>57</v>
      </c>
      <c r="AD3" s="13">
        <v>1.0</v>
      </c>
      <c r="AE3" s="10" t="s">
        <v>57</v>
      </c>
      <c r="AF3" s="13">
        <v>1.0</v>
      </c>
      <c r="AG3" s="10" t="s">
        <v>57</v>
      </c>
      <c r="AH3" s="13">
        <v>1.0</v>
      </c>
      <c r="AI3" s="10" t="s">
        <v>57</v>
      </c>
      <c r="AJ3" s="13">
        <v>1.0</v>
      </c>
      <c r="AK3" s="10" t="s">
        <v>57</v>
      </c>
      <c r="AL3" s="14">
        <v>1.0</v>
      </c>
      <c r="AM3" s="10" t="s">
        <v>57</v>
      </c>
      <c r="AN3" s="14">
        <v>1.0</v>
      </c>
      <c r="AO3" s="15"/>
    </row>
    <row r="4">
      <c r="A4" s="4" t="s">
        <v>58</v>
      </c>
      <c r="B4" s="5" t="s">
        <v>42</v>
      </c>
      <c r="C4" s="5" t="s">
        <v>43</v>
      </c>
      <c r="D4" s="6">
        <v>46017.0</v>
      </c>
      <c r="E4" s="5" t="s">
        <v>59</v>
      </c>
      <c r="F4" s="5" t="s">
        <v>60</v>
      </c>
      <c r="G4" s="5" t="s">
        <v>61</v>
      </c>
      <c r="H4" s="5" t="s">
        <v>62</v>
      </c>
      <c r="I4" s="5" t="s">
        <v>63</v>
      </c>
      <c r="J4" s="5" t="s">
        <v>64</v>
      </c>
      <c r="K4" s="5" t="s">
        <v>65</v>
      </c>
      <c r="L4" s="5" t="s">
        <v>46</v>
      </c>
      <c r="M4" s="4" t="s">
        <v>66</v>
      </c>
      <c r="N4" s="4" t="s">
        <v>67</v>
      </c>
      <c r="O4" s="4" t="s">
        <v>57</v>
      </c>
      <c r="P4" s="4">
        <v>1.0</v>
      </c>
      <c r="Q4" s="4" t="s">
        <v>57</v>
      </c>
      <c r="R4" s="16">
        <v>1.0</v>
      </c>
      <c r="S4" s="4" t="s">
        <v>57</v>
      </c>
      <c r="T4" s="16">
        <v>1.0</v>
      </c>
      <c r="U4" s="4" t="s">
        <v>57</v>
      </c>
      <c r="V4" s="16">
        <v>1.0</v>
      </c>
      <c r="W4" s="4" t="s">
        <v>57</v>
      </c>
      <c r="X4" s="16">
        <v>1.0</v>
      </c>
      <c r="Y4" s="4" t="s">
        <v>57</v>
      </c>
      <c r="Z4" s="16">
        <v>1.0</v>
      </c>
      <c r="AA4" s="4" t="s">
        <v>57</v>
      </c>
      <c r="AB4" s="16">
        <v>1.0</v>
      </c>
      <c r="AC4" s="4" t="s">
        <v>57</v>
      </c>
      <c r="AD4" s="16">
        <v>1.0</v>
      </c>
      <c r="AE4" s="4" t="s">
        <v>57</v>
      </c>
      <c r="AF4" s="16">
        <v>1.0</v>
      </c>
      <c r="AG4" s="4" t="s">
        <v>57</v>
      </c>
      <c r="AH4" s="16">
        <v>1.0</v>
      </c>
      <c r="AI4" s="4" t="s">
        <v>57</v>
      </c>
      <c r="AJ4" s="16">
        <v>1.0</v>
      </c>
      <c r="AK4" s="4" t="s">
        <v>57</v>
      </c>
      <c r="AL4" s="8">
        <v>1.0</v>
      </c>
      <c r="AM4" s="4" t="s">
        <v>57</v>
      </c>
      <c r="AN4" s="8">
        <v>1.0</v>
      </c>
      <c r="AO4" s="9"/>
    </row>
    <row r="5">
      <c r="A5" s="10" t="s">
        <v>68</v>
      </c>
      <c r="B5" s="11" t="s">
        <v>42</v>
      </c>
      <c r="C5" s="11" t="s">
        <v>43</v>
      </c>
      <c r="D5" s="11" t="s">
        <v>69</v>
      </c>
      <c r="E5" s="17" t="s">
        <v>70</v>
      </c>
      <c r="F5" s="11" t="s">
        <v>71</v>
      </c>
      <c r="G5" s="11" t="s">
        <v>72</v>
      </c>
      <c r="H5" s="11" t="s">
        <v>46</v>
      </c>
      <c r="I5" s="11" t="s">
        <v>46</v>
      </c>
      <c r="J5" s="11" t="s">
        <v>46</v>
      </c>
      <c r="K5" s="11" t="s">
        <v>46</v>
      </c>
      <c r="L5" s="11" t="s">
        <v>46</v>
      </c>
      <c r="M5" s="11" t="s">
        <v>46</v>
      </c>
      <c r="N5" s="10" t="s">
        <v>48</v>
      </c>
      <c r="O5" s="10" t="s">
        <v>57</v>
      </c>
      <c r="P5" s="10">
        <v>1.0</v>
      </c>
      <c r="Q5" s="10" t="s">
        <v>57</v>
      </c>
      <c r="R5" s="13">
        <v>1.0</v>
      </c>
      <c r="S5" s="10" t="s">
        <v>57</v>
      </c>
      <c r="T5" s="13">
        <v>1.0</v>
      </c>
      <c r="U5" s="10" t="s">
        <v>57</v>
      </c>
      <c r="V5" s="13">
        <v>1.0</v>
      </c>
      <c r="W5" s="10" t="s">
        <v>57</v>
      </c>
      <c r="X5" s="13">
        <v>1.0</v>
      </c>
      <c r="Y5" s="10" t="s">
        <v>57</v>
      </c>
      <c r="Z5" s="13">
        <v>1.0</v>
      </c>
      <c r="AA5" s="10" t="s">
        <v>57</v>
      </c>
      <c r="AB5" s="13">
        <v>1.0</v>
      </c>
      <c r="AC5" s="10" t="s">
        <v>57</v>
      </c>
      <c r="AD5" s="13">
        <v>1.0</v>
      </c>
      <c r="AE5" s="10" t="s">
        <v>57</v>
      </c>
      <c r="AF5" s="13">
        <v>1.0</v>
      </c>
      <c r="AG5" s="10" t="s">
        <v>57</v>
      </c>
      <c r="AH5" s="13">
        <v>1.0</v>
      </c>
      <c r="AI5" s="10" t="s">
        <v>57</v>
      </c>
      <c r="AJ5" s="13">
        <v>1.0</v>
      </c>
      <c r="AK5" s="10" t="s">
        <v>57</v>
      </c>
      <c r="AL5" s="14">
        <v>1.0</v>
      </c>
      <c r="AM5" s="10" t="s">
        <v>57</v>
      </c>
      <c r="AN5" s="14">
        <v>1.0</v>
      </c>
      <c r="AO5" s="15"/>
    </row>
    <row r="6">
      <c r="A6" s="4" t="s">
        <v>73</v>
      </c>
      <c r="B6" s="5" t="s">
        <v>42</v>
      </c>
      <c r="C6" s="5" t="s">
        <v>43</v>
      </c>
      <c r="D6" s="6">
        <v>46008.0</v>
      </c>
      <c r="E6" s="5" t="s">
        <v>74</v>
      </c>
      <c r="F6" s="5" t="s">
        <v>71</v>
      </c>
      <c r="G6" s="5" t="s">
        <v>75</v>
      </c>
      <c r="H6" s="5" t="s">
        <v>46</v>
      </c>
      <c r="I6" s="5" t="s">
        <v>46</v>
      </c>
      <c r="J6" s="5" t="s">
        <v>46</v>
      </c>
      <c r="K6" s="5" t="s">
        <v>46</v>
      </c>
      <c r="L6" s="5" t="s">
        <v>46</v>
      </c>
      <c r="M6" s="4" t="s">
        <v>76</v>
      </c>
      <c r="N6" s="4" t="s">
        <v>77</v>
      </c>
      <c r="O6" s="4" t="s">
        <v>57</v>
      </c>
      <c r="P6" s="4">
        <v>1.0</v>
      </c>
      <c r="Q6" s="4" t="s">
        <v>57</v>
      </c>
      <c r="R6" s="16">
        <v>1.0</v>
      </c>
      <c r="S6" s="4" t="s">
        <v>57</v>
      </c>
      <c r="T6" s="16">
        <v>1.0</v>
      </c>
      <c r="U6" s="4" t="s">
        <v>57</v>
      </c>
      <c r="V6" s="16">
        <v>1.0</v>
      </c>
      <c r="W6" s="4" t="s">
        <v>57</v>
      </c>
      <c r="X6" s="16">
        <v>1.0</v>
      </c>
      <c r="Y6" s="4" t="s">
        <v>57</v>
      </c>
      <c r="Z6" s="16">
        <v>1.0</v>
      </c>
      <c r="AA6" s="4" t="s">
        <v>57</v>
      </c>
      <c r="AB6" s="16">
        <v>1.0</v>
      </c>
      <c r="AC6" s="4" t="s">
        <v>57</v>
      </c>
      <c r="AD6" s="16">
        <v>1.0</v>
      </c>
      <c r="AE6" s="4" t="s">
        <v>57</v>
      </c>
      <c r="AF6" s="16">
        <v>1.0</v>
      </c>
      <c r="AG6" s="4" t="s">
        <v>57</v>
      </c>
      <c r="AH6" s="16">
        <v>1.0</v>
      </c>
      <c r="AI6" s="4" t="s">
        <v>57</v>
      </c>
      <c r="AJ6" s="16">
        <v>1.0</v>
      </c>
      <c r="AK6" s="4" t="s">
        <v>57</v>
      </c>
      <c r="AL6" s="8">
        <v>1.0</v>
      </c>
      <c r="AM6" s="4" t="s">
        <v>57</v>
      </c>
      <c r="AN6" s="8">
        <v>1.0</v>
      </c>
      <c r="AO6" s="9"/>
    </row>
    <row r="7">
      <c r="A7" s="10" t="s">
        <v>78</v>
      </c>
      <c r="B7" s="11" t="s">
        <v>42</v>
      </c>
      <c r="C7" s="11" t="s">
        <v>43</v>
      </c>
      <c r="D7" s="11" t="s">
        <v>79</v>
      </c>
      <c r="E7" s="11" t="s">
        <v>80</v>
      </c>
      <c r="F7" s="11" t="s">
        <v>71</v>
      </c>
      <c r="G7" s="11" t="s">
        <v>81</v>
      </c>
      <c r="H7" s="11" t="s">
        <v>82</v>
      </c>
      <c r="I7" s="11" t="s">
        <v>83</v>
      </c>
      <c r="J7" s="11" t="s">
        <v>84</v>
      </c>
      <c r="K7" s="11" t="s">
        <v>85</v>
      </c>
      <c r="L7" s="11" t="s">
        <v>86</v>
      </c>
      <c r="M7" s="11" t="s">
        <v>46</v>
      </c>
      <c r="N7" s="10" t="s">
        <v>87</v>
      </c>
      <c r="O7" s="10"/>
      <c r="P7" s="10">
        <v>0.0</v>
      </c>
      <c r="Q7" s="10" t="s">
        <v>50</v>
      </c>
      <c r="R7" s="18">
        <v>0.0</v>
      </c>
      <c r="S7" s="10" t="s">
        <v>53</v>
      </c>
      <c r="T7" s="13">
        <v>1.0</v>
      </c>
      <c r="U7" s="10" t="s">
        <v>53</v>
      </c>
      <c r="V7" s="13">
        <v>1.0</v>
      </c>
      <c r="W7" s="10" t="s">
        <v>53</v>
      </c>
      <c r="X7" s="13">
        <v>1.0</v>
      </c>
      <c r="Y7" s="10" t="s">
        <v>53</v>
      </c>
      <c r="Z7" s="13">
        <v>1.0</v>
      </c>
      <c r="AA7" s="10" t="s">
        <v>53</v>
      </c>
      <c r="AB7" s="13">
        <v>1.0</v>
      </c>
      <c r="AC7" s="10" t="s">
        <v>53</v>
      </c>
      <c r="AD7" s="13">
        <v>1.0</v>
      </c>
      <c r="AE7" s="10" t="s">
        <v>53</v>
      </c>
      <c r="AF7" s="13">
        <v>1.0</v>
      </c>
      <c r="AG7" s="10" t="s">
        <v>53</v>
      </c>
      <c r="AH7" s="13">
        <v>1.0</v>
      </c>
      <c r="AI7" s="10" t="s">
        <v>88</v>
      </c>
      <c r="AJ7" s="13">
        <v>1.0</v>
      </c>
      <c r="AK7" s="10" t="s">
        <v>88</v>
      </c>
      <c r="AL7" s="14">
        <v>1.0</v>
      </c>
      <c r="AM7" s="10" t="s">
        <v>88</v>
      </c>
      <c r="AN7" s="14">
        <v>1.0</v>
      </c>
      <c r="AO7" s="15"/>
    </row>
    <row r="8">
      <c r="A8" s="4" t="s">
        <v>89</v>
      </c>
      <c r="B8" s="5" t="s">
        <v>42</v>
      </c>
      <c r="C8" s="5" t="s">
        <v>43</v>
      </c>
      <c r="D8" s="5" t="s">
        <v>90</v>
      </c>
      <c r="E8" s="5" t="s">
        <v>91</v>
      </c>
      <c r="F8" s="5" t="s">
        <v>45</v>
      </c>
      <c r="G8" s="5" t="s">
        <v>46</v>
      </c>
      <c r="H8" s="5" t="s">
        <v>46</v>
      </c>
      <c r="I8" s="5" t="s">
        <v>46</v>
      </c>
      <c r="J8" s="5" t="s">
        <v>46</v>
      </c>
      <c r="K8" s="5" t="s">
        <v>46</v>
      </c>
      <c r="L8" s="5" t="s">
        <v>46</v>
      </c>
      <c r="M8" s="4" t="s">
        <v>92</v>
      </c>
      <c r="N8" s="4" t="s">
        <v>48</v>
      </c>
      <c r="O8" s="4" t="s">
        <v>57</v>
      </c>
      <c r="P8" s="4">
        <v>1.0</v>
      </c>
      <c r="Q8" s="4" t="s">
        <v>57</v>
      </c>
      <c r="R8" s="16">
        <v>1.0</v>
      </c>
      <c r="S8" s="4" t="s">
        <v>57</v>
      </c>
      <c r="T8" s="16">
        <v>1.0</v>
      </c>
      <c r="U8" s="4" t="s">
        <v>57</v>
      </c>
      <c r="V8" s="16">
        <v>1.0</v>
      </c>
      <c r="W8" s="4" t="s">
        <v>57</v>
      </c>
      <c r="X8" s="16">
        <v>1.0</v>
      </c>
      <c r="Y8" s="4" t="s">
        <v>57</v>
      </c>
      <c r="Z8" s="16">
        <v>1.0</v>
      </c>
      <c r="AA8" s="4" t="s">
        <v>57</v>
      </c>
      <c r="AB8" s="16">
        <v>1.0</v>
      </c>
      <c r="AC8" s="4" t="s">
        <v>57</v>
      </c>
      <c r="AD8" s="16">
        <v>1.0</v>
      </c>
      <c r="AE8" s="4" t="s">
        <v>57</v>
      </c>
      <c r="AF8" s="16">
        <v>1.0</v>
      </c>
      <c r="AG8" s="4" t="s">
        <v>57</v>
      </c>
      <c r="AH8" s="16">
        <v>1.0</v>
      </c>
      <c r="AI8" s="4" t="s">
        <v>57</v>
      </c>
      <c r="AJ8" s="16">
        <v>1.0</v>
      </c>
      <c r="AK8" s="4" t="s">
        <v>57</v>
      </c>
      <c r="AL8" s="8">
        <v>1.0</v>
      </c>
      <c r="AM8" s="4" t="s">
        <v>57</v>
      </c>
      <c r="AN8" s="8">
        <v>1.0</v>
      </c>
      <c r="AO8" s="9"/>
    </row>
    <row r="9">
      <c r="A9" s="10" t="s">
        <v>93</v>
      </c>
      <c r="B9" s="11" t="s">
        <v>42</v>
      </c>
      <c r="C9" s="11" t="s">
        <v>43</v>
      </c>
      <c r="D9" s="11" t="s">
        <v>94</v>
      </c>
      <c r="E9" s="11" t="s">
        <v>95</v>
      </c>
      <c r="F9" s="11" t="s">
        <v>71</v>
      </c>
      <c r="G9" s="11" t="s">
        <v>72</v>
      </c>
      <c r="H9" s="11" t="s">
        <v>96</v>
      </c>
      <c r="I9" s="11" t="s">
        <v>97</v>
      </c>
      <c r="J9" s="11" t="s">
        <v>98</v>
      </c>
      <c r="K9" s="11" t="s">
        <v>85</v>
      </c>
      <c r="L9" s="11" t="s">
        <v>86</v>
      </c>
      <c r="M9" s="10" t="s">
        <v>99</v>
      </c>
      <c r="N9" s="10" t="s">
        <v>87</v>
      </c>
      <c r="O9" s="10"/>
      <c r="P9" s="10">
        <v>0.0</v>
      </c>
      <c r="Q9" s="10" t="s">
        <v>52</v>
      </c>
      <c r="R9" s="18">
        <f>IFERROR(__xludf.DUMMYFUNCTION("IF(
  OR(
    REGEXMATCH(LOWER(Q2),""sent""),
    REGEXMATCH(LOWER(Q2),""done"")
  ),
  1,
  0
)"),0.0)</f>
        <v>0</v>
      </c>
      <c r="S9" s="10" t="s">
        <v>100</v>
      </c>
      <c r="T9" s="18">
        <f>IFERROR(__xludf.DUMMYFUNCTION("IF(
  OR(
    REGEXMATCH(LOWER(S2),""sent""),
    REGEXMATCH(LOWER(S2),""done"")
  ),
  1,
  0
)"),0.0)</f>
        <v>0</v>
      </c>
      <c r="U9" s="10" t="s">
        <v>101</v>
      </c>
      <c r="V9" s="13">
        <v>1.0</v>
      </c>
      <c r="W9" s="10" t="s">
        <v>101</v>
      </c>
      <c r="X9" s="13">
        <v>1.0</v>
      </c>
      <c r="Y9" s="10" t="s">
        <v>101</v>
      </c>
      <c r="Z9" s="18">
        <f>IFERROR(__xludf.DUMMYFUNCTION("IF(
  OR(
    REGEXMATCH(LOWER(Y2),""sent""),
    REGEXMATCH(LOWER(Y2),""done"")
  ),
  1,
  0
)"),1.0)</f>
        <v>1</v>
      </c>
      <c r="AA9" s="10" t="s">
        <v>101</v>
      </c>
      <c r="AB9" s="18">
        <f>IFERROR(__xludf.DUMMYFUNCTION("IF(
  OR(
    REGEXMATCH(LOWER(AA2),""sent""),
    REGEXMATCH(LOWER(AA2),""done"")
  ),
  1,
  0
)"),1.0)</f>
        <v>1</v>
      </c>
      <c r="AC9" s="10" t="s">
        <v>101</v>
      </c>
      <c r="AD9" s="18">
        <f>IFERROR(__xludf.DUMMYFUNCTION("IF(
  OR(
    REGEXMATCH(LOWER(AC2),""sent""),
    REGEXMATCH(LOWER(AC2),""done"")
  ),
  1,
  0
)"),1.0)</f>
        <v>1</v>
      </c>
      <c r="AE9" s="10" t="s">
        <v>101</v>
      </c>
      <c r="AF9" s="18">
        <f>IFERROR(__xludf.DUMMYFUNCTION("IF(
  OR(
    REGEXMATCH(LOWER(AE2),""sent""),
    REGEXMATCH(LOWER(AE2),""done"")
  ),
  1,
  0
)"),1.0)</f>
        <v>1</v>
      </c>
      <c r="AG9" s="10" t="s">
        <v>101</v>
      </c>
      <c r="AH9" s="18">
        <f>IFERROR(__xludf.DUMMYFUNCTION("IF(
  OR(
    REGEXMATCH(LOWER(AG2),""sent""),
    REGEXMATCH(LOWER(AG2),""done"")
  ),
  1,
  0
)"),1.0)</f>
        <v>1</v>
      </c>
      <c r="AI9" s="10" t="s">
        <v>101</v>
      </c>
      <c r="AJ9" s="18">
        <f>IFERROR(__xludf.DUMMYFUNCTION("IF(
  OR(
    REGEXMATCH(LOWER(AI2),""sent""),
    REGEXMATCH(LOWER(AI2),""done"")
  ),
  1,
  0
)"),1.0)</f>
        <v>1</v>
      </c>
      <c r="AK9" s="10" t="s">
        <v>101</v>
      </c>
      <c r="AL9" s="14">
        <f>IFERROR(__xludf.DUMMYFUNCTION("IF(
  OR(
    REGEXMATCH(LOWER(AK2),""sent""),
    REGEXMATCH(LOWER(AK2),""done"")
  ),
  1,
  0
)"),1.0)</f>
        <v>1</v>
      </c>
      <c r="AM9" s="10" t="s">
        <v>101</v>
      </c>
      <c r="AN9" s="14">
        <f>IFERROR(__xludf.DUMMYFUNCTION("IF(
  OR(
    REGEXMATCH(LOWER(AM2),""sent""),
    REGEXMATCH(LOWER(AM2),""done"")
  ),
  1,
  0
)"),1.0)</f>
        <v>1</v>
      </c>
      <c r="AO9" s="15"/>
    </row>
    <row r="10">
      <c r="A10" s="4" t="s">
        <v>102</v>
      </c>
      <c r="B10" s="5" t="s">
        <v>42</v>
      </c>
      <c r="C10" s="5" t="s">
        <v>43</v>
      </c>
      <c r="D10" s="5" t="s">
        <v>103</v>
      </c>
      <c r="E10" s="5" t="s">
        <v>74</v>
      </c>
      <c r="F10" s="5" t="s">
        <v>71</v>
      </c>
      <c r="G10" s="5" t="s">
        <v>104</v>
      </c>
      <c r="H10" s="5" t="s">
        <v>105</v>
      </c>
      <c r="I10" s="5" t="s">
        <v>97</v>
      </c>
      <c r="J10" s="5" t="s">
        <v>98</v>
      </c>
      <c r="K10" s="5" t="s">
        <v>85</v>
      </c>
      <c r="L10" s="5" t="s">
        <v>86</v>
      </c>
      <c r="M10" s="4" t="s">
        <v>106</v>
      </c>
      <c r="N10" s="4" t="s">
        <v>77</v>
      </c>
      <c r="O10" s="4"/>
      <c r="P10" s="4">
        <v>0.0</v>
      </c>
      <c r="Q10" s="4" t="s">
        <v>49</v>
      </c>
      <c r="R10" s="7">
        <f>IFERROR(__xludf.DUMMYFUNCTION("IF(
  OR(
    REGEXMATCH(LOWER(Q2),""sent""),
    REGEXMATCH(LOWER(Q2),""done"")
  ),
  1,
  0
)"),0.0)</f>
        <v>0</v>
      </c>
      <c r="S10" s="4" t="s">
        <v>49</v>
      </c>
      <c r="T10" s="7">
        <f>IFERROR(__xludf.DUMMYFUNCTION("IF(
  OR(
    REGEXMATCH(LOWER(S2),""sent""),
    REGEXMATCH(LOWER(S2),""done"")
  ),
  1,
  0
)"),0.0)</f>
        <v>0</v>
      </c>
      <c r="U10" s="4" t="s">
        <v>107</v>
      </c>
      <c r="V10" s="7">
        <f>IFERROR(__xludf.DUMMYFUNCTION("IF(
  OR(
    REGEXMATCH(LOWER(U2),""sent""),
    REGEXMATCH(LOWER(U2),""done"")
  ),
  1,
  0
)"),0.0)</f>
        <v>0</v>
      </c>
      <c r="W10" s="4" t="s">
        <v>53</v>
      </c>
      <c r="X10" s="16">
        <v>1.0</v>
      </c>
      <c r="Y10" s="4" t="s">
        <v>53</v>
      </c>
      <c r="Z10" s="7">
        <f>IFERROR(__xludf.DUMMYFUNCTION("IF(
  OR(
    REGEXMATCH(LOWER(Y2),""sent""),
    REGEXMATCH(LOWER(Y2),""done"")
  ),
  1,
  0
)"),1.0)</f>
        <v>1</v>
      </c>
      <c r="AA10" s="4" t="s">
        <v>53</v>
      </c>
      <c r="AB10" s="7">
        <f>IFERROR(__xludf.DUMMYFUNCTION("IF(
  OR(
    REGEXMATCH(LOWER(AA2),""sent""),
    REGEXMATCH(LOWER(AA2),""done"")
  ),
  1,
  0
)"),1.0)</f>
        <v>1</v>
      </c>
      <c r="AC10" s="4" t="s">
        <v>53</v>
      </c>
      <c r="AD10" s="7">
        <f>IFERROR(__xludf.DUMMYFUNCTION("IF(
  OR(
    REGEXMATCH(LOWER(AC2),""sent""),
    REGEXMATCH(LOWER(AC2),""done"")
  ),
  1,
  0
)"),1.0)</f>
        <v>1</v>
      </c>
      <c r="AE10" s="4" t="s">
        <v>53</v>
      </c>
      <c r="AF10" s="7">
        <f>IFERROR(__xludf.DUMMYFUNCTION("IF(
  OR(
    REGEXMATCH(LOWER(AE2),""sent""),
    REGEXMATCH(LOWER(AE2),""done"")
  ),
  1,
  0
)"),1.0)</f>
        <v>1</v>
      </c>
      <c r="AG10" s="4" t="s">
        <v>53</v>
      </c>
      <c r="AH10" s="7">
        <f>IFERROR(__xludf.DUMMYFUNCTION("IF(
  OR(
    REGEXMATCH(LOWER(AG2),""sent""),
    REGEXMATCH(LOWER(AG2),""done"")
  ),
  1,
  0
)"),1.0)</f>
        <v>1</v>
      </c>
      <c r="AI10" s="4" t="s">
        <v>53</v>
      </c>
      <c r="AJ10" s="7">
        <f>IFERROR(__xludf.DUMMYFUNCTION("IF(
  OR(
    REGEXMATCH(LOWER(AI2),""sent""),
    REGEXMATCH(LOWER(AI2),""done"")
  ),
  1,
  0
)"),1.0)</f>
        <v>1</v>
      </c>
      <c r="AK10" s="4" t="s">
        <v>53</v>
      </c>
      <c r="AL10" s="8">
        <f>IFERROR(__xludf.DUMMYFUNCTION("IF(
  OR(
    REGEXMATCH(LOWER(AK2),""sent""),
    REGEXMATCH(LOWER(AK2),""done"")
  ),
  1,
  0
)"),1.0)</f>
        <v>1</v>
      </c>
      <c r="AM10" s="4" t="s">
        <v>53</v>
      </c>
      <c r="AN10" s="8">
        <f>IFERROR(__xludf.DUMMYFUNCTION("IF(
  OR(
    REGEXMATCH(LOWER(AM2),""sent""),
    REGEXMATCH(LOWER(AM2),""done"")
  ),
  1,
  0
)"),1.0)</f>
        <v>1</v>
      </c>
      <c r="AO10" s="9"/>
    </row>
    <row r="11">
      <c r="A11" s="10" t="s">
        <v>108</v>
      </c>
      <c r="B11" s="11" t="s">
        <v>42</v>
      </c>
      <c r="C11" s="11" t="s">
        <v>43</v>
      </c>
      <c r="D11" s="11" t="s">
        <v>103</v>
      </c>
      <c r="E11" s="11" t="s">
        <v>74</v>
      </c>
      <c r="F11" s="11" t="s">
        <v>71</v>
      </c>
      <c r="G11" s="11" t="s">
        <v>109</v>
      </c>
      <c r="H11" s="11" t="s">
        <v>46</v>
      </c>
      <c r="I11" s="11" t="s">
        <v>46</v>
      </c>
      <c r="J11" s="11"/>
      <c r="K11" s="11" t="s">
        <v>46</v>
      </c>
      <c r="L11" s="11" t="s">
        <v>46</v>
      </c>
      <c r="M11" s="11" t="s">
        <v>46</v>
      </c>
      <c r="N11" s="10" t="s">
        <v>77</v>
      </c>
      <c r="O11" s="10"/>
      <c r="P11" s="10">
        <v>0.0</v>
      </c>
      <c r="Q11" s="10" t="s">
        <v>49</v>
      </c>
      <c r="R11" s="18">
        <f>IFERROR(__xludf.DUMMYFUNCTION("IF(
  OR(
    REGEXMATCH(LOWER(Q2),""sent""),
    REGEXMATCH(LOWER(Q2),""done"")
  ),
  1,
  0
)"),0.0)</f>
        <v>0</v>
      </c>
      <c r="S11" s="10" t="s">
        <v>50</v>
      </c>
      <c r="T11" s="18">
        <f>IFERROR(__xludf.DUMMYFUNCTION("IF(
  OR(
    REGEXMATCH(LOWER(S2),""sent""),
    REGEXMATCH(LOWER(S2),""done"")
  ),
  1,
  0
)"),0.0)</f>
        <v>0</v>
      </c>
      <c r="U11" s="10" t="s">
        <v>53</v>
      </c>
      <c r="V11" s="13">
        <v>1.0</v>
      </c>
      <c r="W11" s="10" t="s">
        <v>53</v>
      </c>
      <c r="X11" s="13">
        <v>1.0</v>
      </c>
      <c r="Y11" s="10" t="s">
        <v>53</v>
      </c>
      <c r="Z11" s="13">
        <v>1.0</v>
      </c>
      <c r="AA11" s="10" t="s">
        <v>53</v>
      </c>
      <c r="AB11" s="18">
        <f>IFERROR(__xludf.DUMMYFUNCTION("IF(
  OR(
    REGEXMATCH(LOWER(AA2),""sent""),
    REGEXMATCH(LOWER(AA2),""done"")
  ),
  1,
  0
)"),1.0)</f>
        <v>1</v>
      </c>
      <c r="AC11" s="10" t="s">
        <v>53</v>
      </c>
      <c r="AD11" s="18">
        <f>IFERROR(__xludf.DUMMYFUNCTION("IF(
  OR(
    REGEXMATCH(LOWER(AC2),""sent""),
    REGEXMATCH(LOWER(AC2),""done"")
  ),
  1,
  0
)"),1.0)</f>
        <v>1</v>
      </c>
      <c r="AE11" s="10" t="s">
        <v>53</v>
      </c>
      <c r="AF11" s="18">
        <f>IFERROR(__xludf.DUMMYFUNCTION("IF(
  OR(
    REGEXMATCH(LOWER(AE2),""sent""),
    REGEXMATCH(LOWER(AE2),""done"")
  ),
  1,
  0
)"),1.0)</f>
        <v>1</v>
      </c>
      <c r="AG11" s="10" t="s">
        <v>53</v>
      </c>
      <c r="AH11" s="18">
        <f>IFERROR(__xludf.DUMMYFUNCTION("IF(
  OR(
    REGEXMATCH(LOWER(AG2),""sent""),
    REGEXMATCH(LOWER(AG2),""done"")
  ),
  1,
  0
)"),1.0)</f>
        <v>1</v>
      </c>
      <c r="AI11" s="10" t="s">
        <v>53</v>
      </c>
      <c r="AJ11" s="18">
        <f>IFERROR(__xludf.DUMMYFUNCTION("IF(
  OR(
    REGEXMATCH(LOWER(AI2),""sent""),
    REGEXMATCH(LOWER(AI2),""done"")
  ),
  1,
  0
)"),1.0)</f>
        <v>1</v>
      </c>
      <c r="AK11" s="10" t="s">
        <v>53</v>
      </c>
      <c r="AL11" s="14">
        <f>IFERROR(__xludf.DUMMYFUNCTION("IF(
  OR(
    REGEXMATCH(LOWER(AK2),""sent""),
    REGEXMATCH(LOWER(AK2),""done"")
  ),
  1,
  0
)"),1.0)</f>
        <v>1</v>
      </c>
      <c r="AM11" s="10" t="s">
        <v>53</v>
      </c>
      <c r="AN11" s="14">
        <f>IFERROR(__xludf.DUMMYFUNCTION("IF(
  OR(
    REGEXMATCH(LOWER(AM2),""sent""),
    REGEXMATCH(LOWER(AM2),""done"")
  ),
  1,
  0
)"),1.0)</f>
        <v>1</v>
      </c>
      <c r="AO11" s="15"/>
    </row>
    <row r="12">
      <c r="A12" s="4" t="s">
        <v>110</v>
      </c>
      <c r="B12" s="5" t="s">
        <v>42</v>
      </c>
      <c r="C12" s="5" t="s">
        <v>43</v>
      </c>
      <c r="D12" s="5" t="s">
        <v>103</v>
      </c>
      <c r="E12" s="5" t="s">
        <v>74</v>
      </c>
      <c r="F12" s="5" t="s">
        <v>71</v>
      </c>
      <c r="G12" s="5" t="s">
        <v>104</v>
      </c>
      <c r="H12" s="5" t="s">
        <v>111</v>
      </c>
      <c r="I12" s="5" t="s">
        <v>112</v>
      </c>
      <c r="J12" s="5" t="s">
        <v>98</v>
      </c>
      <c r="K12" s="5" t="s">
        <v>85</v>
      </c>
      <c r="L12" s="5" t="s">
        <v>86</v>
      </c>
      <c r="M12" s="4" t="s">
        <v>113</v>
      </c>
      <c r="N12" s="4" t="s">
        <v>77</v>
      </c>
      <c r="O12" s="4"/>
      <c r="P12" s="4">
        <v>0.0</v>
      </c>
      <c r="Q12" s="4" t="s">
        <v>50</v>
      </c>
      <c r="R12" s="7">
        <f>IFERROR(__xludf.DUMMYFUNCTION("IF(
  OR(
    REGEXMATCH(LOWER(Q2),""sent""),
    REGEXMATCH(LOWER(Q2),""done"")
  ),
  1,
  0
)"),0.0)</f>
        <v>0</v>
      </c>
      <c r="S12" s="4" t="s">
        <v>100</v>
      </c>
      <c r="T12" s="16">
        <v>0.0</v>
      </c>
      <c r="U12" s="4" t="s">
        <v>100</v>
      </c>
      <c r="V12" s="16">
        <v>0.0</v>
      </c>
      <c r="W12" s="4" t="s">
        <v>101</v>
      </c>
      <c r="X12" s="16">
        <v>1.0</v>
      </c>
      <c r="Y12" s="4" t="s">
        <v>101</v>
      </c>
      <c r="Z12" s="7">
        <f>IFERROR(__xludf.DUMMYFUNCTION("IF(
  OR(
    REGEXMATCH(LOWER(Y2),""sent""),
    REGEXMATCH(LOWER(Y2),""done"")
  ),
  1,
  0
)"),1.0)</f>
        <v>1</v>
      </c>
      <c r="AA12" s="4" t="s">
        <v>101</v>
      </c>
      <c r="AB12" s="7">
        <f>IFERROR(__xludf.DUMMYFUNCTION("IF(
  OR(
    REGEXMATCH(LOWER(AA2),""sent""),
    REGEXMATCH(LOWER(AA2),""done"")
  ),
  1,
  0
)"),1.0)</f>
        <v>1</v>
      </c>
      <c r="AC12" s="4" t="s">
        <v>101</v>
      </c>
      <c r="AD12" s="7">
        <f>IFERROR(__xludf.DUMMYFUNCTION("IF(
  OR(
    REGEXMATCH(LOWER(AC2),""sent""),
    REGEXMATCH(LOWER(AC2),""done"")
  ),
  1,
  0
)"),1.0)</f>
        <v>1</v>
      </c>
      <c r="AE12" s="4" t="s">
        <v>101</v>
      </c>
      <c r="AF12" s="7">
        <f>IFERROR(__xludf.DUMMYFUNCTION("IF(
  OR(
    REGEXMATCH(LOWER(AE2),""sent""),
    REGEXMATCH(LOWER(AE2),""done"")
  ),
  1,
  0
)"),1.0)</f>
        <v>1</v>
      </c>
      <c r="AG12" s="4" t="s">
        <v>101</v>
      </c>
      <c r="AH12" s="7">
        <f>IFERROR(__xludf.DUMMYFUNCTION("IF(
  OR(
    REGEXMATCH(LOWER(AG2),""sent""),
    REGEXMATCH(LOWER(AG2),""done"")
  ),
  1,
  0
)"),1.0)</f>
        <v>1</v>
      </c>
      <c r="AI12" s="4" t="s">
        <v>101</v>
      </c>
      <c r="AJ12" s="7">
        <f>IFERROR(__xludf.DUMMYFUNCTION("IF(
  OR(
    REGEXMATCH(LOWER(AI2),""sent""),
    REGEXMATCH(LOWER(AI2),""done"")
  ),
  1,
  0
)"),1.0)</f>
        <v>1</v>
      </c>
      <c r="AK12" s="4" t="s">
        <v>101</v>
      </c>
      <c r="AL12" s="8">
        <f>IFERROR(__xludf.DUMMYFUNCTION("IF(
  OR(
    REGEXMATCH(LOWER(AK2),""sent""),
    REGEXMATCH(LOWER(AK2),""done"")
  ),
  1,
  0
)"),1.0)</f>
        <v>1</v>
      </c>
      <c r="AM12" s="4" t="s">
        <v>101</v>
      </c>
      <c r="AN12" s="8">
        <f>IFERROR(__xludf.DUMMYFUNCTION("IF(
  OR(
    REGEXMATCH(LOWER(AM2),""sent""),
    REGEXMATCH(LOWER(AM2),""done"")
  ),
  1,
  0
)"),1.0)</f>
        <v>1</v>
      </c>
      <c r="AO12" s="9"/>
    </row>
    <row r="13">
      <c r="A13" s="10" t="s">
        <v>114</v>
      </c>
      <c r="B13" s="11" t="s">
        <v>42</v>
      </c>
      <c r="C13" s="11" t="s">
        <v>43</v>
      </c>
      <c r="D13" s="11" t="s">
        <v>115</v>
      </c>
      <c r="E13" s="11" t="s">
        <v>74</v>
      </c>
      <c r="F13" s="11" t="s">
        <v>71</v>
      </c>
      <c r="G13" s="11" t="s">
        <v>75</v>
      </c>
      <c r="H13" s="11" t="s">
        <v>116</v>
      </c>
      <c r="I13" s="11" t="s">
        <v>117</v>
      </c>
      <c r="J13" s="11" t="s">
        <v>118</v>
      </c>
      <c r="K13" s="11" t="s">
        <v>119</v>
      </c>
      <c r="L13" s="11" t="s">
        <v>46</v>
      </c>
      <c r="M13" s="10" t="s">
        <v>120</v>
      </c>
      <c r="N13" s="10" t="s">
        <v>48</v>
      </c>
      <c r="O13" s="10"/>
      <c r="P13" s="10">
        <v>0.0</v>
      </c>
      <c r="Q13" s="10" t="s">
        <v>101</v>
      </c>
      <c r="R13" s="13">
        <v>1.0</v>
      </c>
      <c r="S13" s="10" t="s">
        <v>101</v>
      </c>
      <c r="T13" s="13">
        <v>1.0</v>
      </c>
      <c r="U13" s="10" t="s">
        <v>101</v>
      </c>
      <c r="V13" s="13">
        <v>1.0</v>
      </c>
      <c r="W13" s="10" t="s">
        <v>121</v>
      </c>
      <c r="X13" s="13">
        <v>1.0</v>
      </c>
      <c r="Y13" s="10" t="s">
        <v>121</v>
      </c>
      <c r="Z13" s="13">
        <v>1.0</v>
      </c>
      <c r="AA13" s="10" t="s">
        <v>101</v>
      </c>
      <c r="AB13" s="18">
        <f>IFERROR(__xludf.DUMMYFUNCTION("IF(
  OR(
    REGEXMATCH(LOWER(AA2),""sent""),
    REGEXMATCH(LOWER(AA2),""done"")
  ),
  1,
  0
)"),1.0)</f>
        <v>1</v>
      </c>
      <c r="AC13" s="10" t="s">
        <v>101</v>
      </c>
      <c r="AD13" s="18">
        <f>IFERROR(__xludf.DUMMYFUNCTION("IF(
  OR(
    REGEXMATCH(LOWER(AC2),""sent""),
    REGEXMATCH(LOWER(AC2),""done"")
  ),
  1,
  0
)"),1.0)</f>
        <v>1</v>
      </c>
      <c r="AE13" s="10" t="s">
        <v>101</v>
      </c>
      <c r="AF13" s="18">
        <f>IFERROR(__xludf.DUMMYFUNCTION("IF(
  OR(
    REGEXMATCH(LOWER(AE2),""sent""),
    REGEXMATCH(LOWER(AE2),""done"")
  ),
  1,
  0
)"),1.0)</f>
        <v>1</v>
      </c>
      <c r="AG13" s="10" t="s">
        <v>101</v>
      </c>
      <c r="AH13" s="18">
        <f>IFERROR(__xludf.DUMMYFUNCTION("IF(
  OR(
    REGEXMATCH(LOWER(AG2),""sent""),
    REGEXMATCH(LOWER(AG2),""done"")
  ),
  1,
  0
)"),1.0)</f>
        <v>1</v>
      </c>
      <c r="AI13" s="10" t="s">
        <v>101</v>
      </c>
      <c r="AJ13" s="18">
        <f>IFERROR(__xludf.DUMMYFUNCTION("IF(
  OR(
    REGEXMATCH(LOWER(AI2),""sent""),
    REGEXMATCH(LOWER(AI2),""done"")
  ),
  1,
  0
)"),1.0)</f>
        <v>1</v>
      </c>
      <c r="AK13" s="10" t="s">
        <v>101</v>
      </c>
      <c r="AL13" s="14">
        <f>IFERROR(__xludf.DUMMYFUNCTION("IF(
  OR(
    REGEXMATCH(LOWER(AK2),""sent""),
    REGEXMATCH(LOWER(AK2),""done"")
  ),
  1,
  0
)"),1.0)</f>
        <v>1</v>
      </c>
      <c r="AM13" s="10" t="s">
        <v>101</v>
      </c>
      <c r="AN13" s="14">
        <f>IFERROR(__xludf.DUMMYFUNCTION("IF(
  OR(
    REGEXMATCH(LOWER(AM2),""sent""),
    REGEXMATCH(LOWER(AM2),""done"")
  ),
  1,
  0
)"),1.0)</f>
        <v>1</v>
      </c>
      <c r="AO13" s="15"/>
    </row>
    <row r="14">
      <c r="A14" s="4" t="s">
        <v>122</v>
      </c>
      <c r="B14" s="5" t="s">
        <v>42</v>
      </c>
      <c r="C14" s="5" t="s">
        <v>43</v>
      </c>
      <c r="D14" s="5" t="s">
        <v>123</v>
      </c>
      <c r="E14" s="5" t="s">
        <v>74</v>
      </c>
      <c r="F14" s="5" t="s">
        <v>71</v>
      </c>
      <c r="G14" s="5" t="s">
        <v>75</v>
      </c>
      <c r="H14" s="5" t="s">
        <v>124</v>
      </c>
      <c r="I14" s="5" t="s">
        <v>97</v>
      </c>
      <c r="J14" s="5" t="s">
        <v>98</v>
      </c>
      <c r="K14" s="5" t="s">
        <v>85</v>
      </c>
      <c r="L14" s="5" t="s">
        <v>86</v>
      </c>
      <c r="M14" s="4" t="s">
        <v>125</v>
      </c>
      <c r="N14" s="4" t="s">
        <v>77</v>
      </c>
      <c r="O14" s="4"/>
      <c r="P14" s="4">
        <v>0.0</v>
      </c>
      <c r="Q14" s="4" t="s">
        <v>52</v>
      </c>
      <c r="R14" s="7">
        <f>IFERROR(__xludf.DUMMYFUNCTION("IF(
  OR(
    REGEXMATCH(LOWER(Q2),""sent""),
    REGEXMATCH(LOWER(Q2),""done"")
  ),
  1,
  0
)"),0.0)</f>
        <v>0</v>
      </c>
      <c r="S14" s="4" t="s">
        <v>52</v>
      </c>
      <c r="T14" s="7">
        <f>IFERROR(__xludf.DUMMYFUNCTION("IF(
  OR(
    REGEXMATCH(LOWER(S2),""sent""),
    REGEXMATCH(LOWER(S2),""done"")
  ),
  1,
  0
)"),0.0)</f>
        <v>0</v>
      </c>
      <c r="U14" s="4" t="s">
        <v>52</v>
      </c>
      <c r="V14" s="7">
        <f>IFERROR(__xludf.DUMMYFUNCTION("IF(
  OR(
    REGEXMATCH(LOWER(U2),""sent""),
    REGEXMATCH(LOWER(U2),""done"")
  ),
  1,
  0
)"),0.0)</f>
        <v>0</v>
      </c>
      <c r="W14" s="4" t="s">
        <v>101</v>
      </c>
      <c r="X14" s="16">
        <v>1.0</v>
      </c>
      <c r="Y14" s="4" t="s">
        <v>101</v>
      </c>
      <c r="Z14" s="7">
        <f>IFERROR(__xludf.DUMMYFUNCTION("IF(
  OR(
    REGEXMATCH(LOWER(Y2),""sent""),
    REGEXMATCH(LOWER(Y2),""done"")
  ),
  1,
  0
)"),1.0)</f>
        <v>1</v>
      </c>
      <c r="AA14" s="4" t="s">
        <v>101</v>
      </c>
      <c r="AB14" s="7">
        <f>IFERROR(__xludf.DUMMYFUNCTION("IF(
  OR(
    REGEXMATCH(LOWER(AA2),""sent""),
    REGEXMATCH(LOWER(AA2),""done"")
  ),
  1,
  0
)"),1.0)</f>
        <v>1</v>
      </c>
      <c r="AC14" s="4" t="s">
        <v>101</v>
      </c>
      <c r="AD14" s="7">
        <f>IFERROR(__xludf.DUMMYFUNCTION("IF(
  OR(
    REGEXMATCH(LOWER(AC2),""sent""),
    REGEXMATCH(LOWER(AC2),""done"")
  ),
  1,
  0
)"),1.0)</f>
        <v>1</v>
      </c>
      <c r="AE14" s="4" t="s">
        <v>101</v>
      </c>
      <c r="AF14" s="7">
        <f>IFERROR(__xludf.DUMMYFUNCTION("IF(
  OR(
    REGEXMATCH(LOWER(AE2),""sent""),
    REGEXMATCH(LOWER(AE2),""done"")
  ),
  1,
  0
)"),1.0)</f>
        <v>1</v>
      </c>
      <c r="AG14" s="4" t="s">
        <v>101</v>
      </c>
      <c r="AH14" s="7">
        <f>IFERROR(__xludf.DUMMYFUNCTION("IF(
  OR(
    REGEXMATCH(LOWER(AG2),""sent""),
    REGEXMATCH(LOWER(AG2),""done"")
  ),
  1,
  0
)"),1.0)</f>
        <v>1</v>
      </c>
      <c r="AI14" s="4" t="s">
        <v>101</v>
      </c>
      <c r="AJ14" s="7">
        <f>IFERROR(__xludf.DUMMYFUNCTION("IF(
  OR(
    REGEXMATCH(LOWER(AI2),""sent""),
    REGEXMATCH(LOWER(AI2),""done"")
  ),
  1,
  0
)"),1.0)</f>
        <v>1</v>
      </c>
      <c r="AK14" s="4" t="s">
        <v>101</v>
      </c>
      <c r="AL14" s="8">
        <f>IFERROR(__xludf.DUMMYFUNCTION("IF(
  OR(
    REGEXMATCH(LOWER(AK2),""sent""),
    REGEXMATCH(LOWER(AK2),""done"")
  ),
  1,
  0
)"),1.0)</f>
        <v>1</v>
      </c>
      <c r="AM14" s="4" t="s">
        <v>101</v>
      </c>
      <c r="AN14" s="8">
        <f>IFERROR(__xludf.DUMMYFUNCTION("IF(
  OR(
    REGEXMATCH(LOWER(AM2),""sent""),
    REGEXMATCH(LOWER(AM2),""done"")
  ),
  1,
  0
)"),1.0)</f>
        <v>1</v>
      </c>
      <c r="AO14" s="9"/>
    </row>
    <row r="15">
      <c r="A15" s="10" t="s">
        <v>126</v>
      </c>
      <c r="B15" s="11" t="s">
        <v>42</v>
      </c>
      <c r="C15" s="11" t="s">
        <v>43</v>
      </c>
      <c r="D15" s="11" t="s">
        <v>127</v>
      </c>
      <c r="E15" s="11" t="s">
        <v>74</v>
      </c>
      <c r="F15" s="11" t="s">
        <v>71</v>
      </c>
      <c r="G15" s="11" t="s">
        <v>75</v>
      </c>
      <c r="H15" s="11" t="s">
        <v>46</v>
      </c>
      <c r="I15" s="11" t="s">
        <v>46</v>
      </c>
      <c r="J15" s="11" t="s">
        <v>46</v>
      </c>
      <c r="K15" s="11" t="s">
        <v>46</v>
      </c>
      <c r="L15" s="11" t="s">
        <v>46</v>
      </c>
      <c r="M15" s="11" t="s">
        <v>46</v>
      </c>
      <c r="N15" s="10" t="s">
        <v>77</v>
      </c>
      <c r="O15" s="10"/>
      <c r="P15" s="10">
        <v>0.0</v>
      </c>
      <c r="Q15" s="10" t="s">
        <v>49</v>
      </c>
      <c r="R15" s="18">
        <f>IFERROR(__xludf.DUMMYFUNCTION("IF(
  OR(
    REGEXMATCH(LOWER(Q2),""sent""),
    REGEXMATCH(LOWER(Q2),""done"")
  ),
  1,
  0
)"),0.0)</f>
        <v>0</v>
      </c>
      <c r="S15" s="10" t="s">
        <v>49</v>
      </c>
      <c r="T15" s="18">
        <f>IFERROR(__xludf.DUMMYFUNCTION("IF(
  OR(
    REGEXMATCH(LOWER(S2),""sent""),
    REGEXMATCH(LOWER(S2),""done"")
  ),
  1,
  0
)"),0.0)</f>
        <v>0</v>
      </c>
      <c r="U15" s="10" t="s">
        <v>49</v>
      </c>
      <c r="V15" s="18">
        <f>IFERROR(__xludf.DUMMYFUNCTION("IF(
  OR(
    REGEXMATCH(LOWER(U2),""sent""),
    REGEXMATCH(LOWER(U2),""done"")
  ),
  1,
  0
)"),0.0)</f>
        <v>0</v>
      </c>
      <c r="W15" s="10" t="s">
        <v>53</v>
      </c>
      <c r="X15" s="13">
        <v>1.0</v>
      </c>
      <c r="Y15" s="10" t="s">
        <v>53</v>
      </c>
      <c r="Z15" s="18">
        <f>IFERROR(__xludf.DUMMYFUNCTION("IF(
  OR(
    REGEXMATCH(LOWER(Y2),""sent""),
    REGEXMATCH(LOWER(Y2),""done"")
  ),
  1,
  0
)"),1.0)</f>
        <v>1</v>
      </c>
      <c r="AA15" s="10" t="s">
        <v>53</v>
      </c>
      <c r="AB15" s="18">
        <f>IFERROR(__xludf.DUMMYFUNCTION("IF(
  OR(
    REGEXMATCH(LOWER(AA2),""sent""),
    REGEXMATCH(LOWER(AA2),""done"")
  ),
  1,
  0
)"),1.0)</f>
        <v>1</v>
      </c>
      <c r="AC15" s="10" t="s">
        <v>53</v>
      </c>
      <c r="AD15" s="18">
        <f>IFERROR(__xludf.DUMMYFUNCTION("IF(
  OR(
    REGEXMATCH(LOWER(AC2),""sent""),
    REGEXMATCH(LOWER(AC2),""done"")
  ),
  1,
  0
)"),1.0)</f>
        <v>1</v>
      </c>
      <c r="AE15" s="10" t="s">
        <v>53</v>
      </c>
      <c r="AF15" s="13">
        <v>1.0</v>
      </c>
      <c r="AG15" s="10" t="s">
        <v>53</v>
      </c>
      <c r="AH15" s="18">
        <f>IFERROR(__xludf.DUMMYFUNCTION("IF(
  OR(
    REGEXMATCH(LOWER(AG2),""sent""),
    REGEXMATCH(LOWER(AG2),""done"")
  ),
  1,
  0
)"),1.0)</f>
        <v>1</v>
      </c>
      <c r="AI15" s="10" t="s">
        <v>53</v>
      </c>
      <c r="AJ15" s="18">
        <f>IFERROR(__xludf.DUMMYFUNCTION("IF(
  OR(
    REGEXMATCH(LOWER(AI2),""sent""),
    REGEXMATCH(LOWER(AI2),""done"")
  ),
  1,
  0
)"),1.0)</f>
        <v>1</v>
      </c>
      <c r="AK15" s="10" t="s">
        <v>53</v>
      </c>
      <c r="AL15" s="14">
        <f>IFERROR(__xludf.DUMMYFUNCTION("IF(
  OR(
    REGEXMATCH(LOWER(AK2),""sent""),
    REGEXMATCH(LOWER(AK2),""done"")
  ),
  1,
  0
)"),1.0)</f>
        <v>1</v>
      </c>
      <c r="AM15" s="10" t="s">
        <v>53</v>
      </c>
      <c r="AN15" s="14">
        <f>IFERROR(__xludf.DUMMYFUNCTION("IF(
  OR(
    REGEXMATCH(LOWER(AM2),""sent""),
    REGEXMATCH(LOWER(AM2),""done"")
  ),
  1,
  0
)"),1.0)</f>
        <v>1</v>
      </c>
      <c r="AO15" s="15"/>
    </row>
    <row r="16">
      <c r="A16" s="4" t="s">
        <v>128</v>
      </c>
      <c r="B16" s="5" t="s">
        <v>42</v>
      </c>
      <c r="C16" s="5" t="s">
        <v>43</v>
      </c>
      <c r="D16" s="5" t="s">
        <v>123</v>
      </c>
      <c r="E16" s="5" t="s">
        <v>129</v>
      </c>
      <c r="F16" s="5" t="s">
        <v>130</v>
      </c>
      <c r="G16" s="5" t="s">
        <v>46</v>
      </c>
      <c r="H16" s="5" t="s">
        <v>46</v>
      </c>
      <c r="I16" s="5" t="s">
        <v>46</v>
      </c>
      <c r="J16" s="5" t="s">
        <v>46</v>
      </c>
      <c r="K16" s="5" t="s">
        <v>46</v>
      </c>
      <c r="L16" s="5" t="s">
        <v>46</v>
      </c>
      <c r="M16" s="5" t="s">
        <v>46</v>
      </c>
      <c r="N16" s="4" t="s">
        <v>131</v>
      </c>
      <c r="O16" s="4" t="s">
        <v>57</v>
      </c>
      <c r="P16" s="4">
        <v>1.0</v>
      </c>
      <c r="Q16" s="4" t="s">
        <v>57</v>
      </c>
      <c r="R16" s="16">
        <v>1.0</v>
      </c>
      <c r="S16" s="4" t="s">
        <v>57</v>
      </c>
      <c r="T16" s="16">
        <v>1.0</v>
      </c>
      <c r="U16" s="4" t="s">
        <v>57</v>
      </c>
      <c r="V16" s="16">
        <v>1.0</v>
      </c>
      <c r="W16" s="4" t="s">
        <v>57</v>
      </c>
      <c r="X16" s="16">
        <v>1.0</v>
      </c>
      <c r="Y16" s="4" t="s">
        <v>57</v>
      </c>
      <c r="Z16" s="16">
        <v>1.0</v>
      </c>
      <c r="AA16" s="4" t="s">
        <v>57</v>
      </c>
      <c r="AB16" s="16">
        <v>1.0</v>
      </c>
      <c r="AC16" s="4" t="s">
        <v>57</v>
      </c>
      <c r="AD16" s="16">
        <v>1.0</v>
      </c>
      <c r="AE16" s="4" t="s">
        <v>57</v>
      </c>
      <c r="AF16" s="16">
        <v>1.0</v>
      </c>
      <c r="AG16" s="4" t="s">
        <v>57</v>
      </c>
      <c r="AH16" s="16">
        <v>1.0</v>
      </c>
      <c r="AI16" s="4" t="s">
        <v>57</v>
      </c>
      <c r="AJ16" s="16">
        <v>1.0</v>
      </c>
      <c r="AK16" s="4" t="s">
        <v>57</v>
      </c>
      <c r="AL16" s="8">
        <v>1.0</v>
      </c>
      <c r="AM16" s="4" t="s">
        <v>57</v>
      </c>
      <c r="AN16" s="8">
        <v>1.0</v>
      </c>
      <c r="AO16" s="9"/>
    </row>
    <row r="17">
      <c r="A17" s="10" t="s">
        <v>132</v>
      </c>
      <c r="B17" s="11" t="s">
        <v>42</v>
      </c>
      <c r="C17" s="11" t="s">
        <v>43</v>
      </c>
      <c r="D17" s="11" t="s">
        <v>123</v>
      </c>
      <c r="E17" s="11" t="s">
        <v>129</v>
      </c>
      <c r="F17" s="11" t="s">
        <v>130</v>
      </c>
      <c r="G17" s="11" t="s">
        <v>46</v>
      </c>
      <c r="H17" s="11" t="s">
        <v>46</v>
      </c>
      <c r="I17" s="11" t="s">
        <v>46</v>
      </c>
      <c r="J17" s="11" t="s">
        <v>46</v>
      </c>
      <c r="K17" s="11" t="s">
        <v>46</v>
      </c>
      <c r="L17" s="11" t="s">
        <v>46</v>
      </c>
      <c r="M17" s="11" t="s">
        <v>46</v>
      </c>
      <c r="N17" s="10" t="s">
        <v>131</v>
      </c>
      <c r="O17" s="10" t="s">
        <v>57</v>
      </c>
      <c r="P17" s="10">
        <v>1.0</v>
      </c>
      <c r="Q17" s="10" t="s">
        <v>57</v>
      </c>
      <c r="R17" s="13">
        <v>1.0</v>
      </c>
      <c r="S17" s="10" t="s">
        <v>57</v>
      </c>
      <c r="T17" s="13">
        <v>1.0</v>
      </c>
      <c r="U17" s="10" t="s">
        <v>57</v>
      </c>
      <c r="V17" s="13">
        <v>1.0</v>
      </c>
      <c r="W17" s="10" t="s">
        <v>57</v>
      </c>
      <c r="X17" s="13">
        <v>1.0</v>
      </c>
      <c r="Y17" s="10" t="s">
        <v>57</v>
      </c>
      <c r="Z17" s="13">
        <v>1.0</v>
      </c>
      <c r="AA17" s="10" t="s">
        <v>57</v>
      </c>
      <c r="AB17" s="13">
        <v>1.0</v>
      </c>
      <c r="AC17" s="10" t="s">
        <v>57</v>
      </c>
      <c r="AD17" s="13">
        <v>1.0</v>
      </c>
      <c r="AE17" s="10" t="s">
        <v>57</v>
      </c>
      <c r="AF17" s="13">
        <v>1.0</v>
      </c>
      <c r="AG17" s="10" t="s">
        <v>57</v>
      </c>
      <c r="AH17" s="13">
        <v>1.0</v>
      </c>
      <c r="AI17" s="10" t="s">
        <v>57</v>
      </c>
      <c r="AJ17" s="13">
        <v>1.0</v>
      </c>
      <c r="AK17" s="10" t="s">
        <v>57</v>
      </c>
      <c r="AL17" s="14">
        <v>1.0</v>
      </c>
      <c r="AM17" s="10" t="s">
        <v>57</v>
      </c>
      <c r="AN17" s="14">
        <v>1.0</v>
      </c>
      <c r="AO17" s="15"/>
    </row>
    <row r="18">
      <c r="A18" s="4" t="s">
        <v>133</v>
      </c>
      <c r="B18" s="5" t="s">
        <v>42</v>
      </c>
      <c r="C18" s="5" t="s">
        <v>43</v>
      </c>
      <c r="D18" s="5" t="s">
        <v>123</v>
      </c>
      <c r="E18" s="5" t="s">
        <v>129</v>
      </c>
      <c r="F18" s="5" t="s">
        <v>130</v>
      </c>
      <c r="G18" s="5" t="s">
        <v>46</v>
      </c>
      <c r="H18" s="5" t="s">
        <v>46</v>
      </c>
      <c r="I18" s="5" t="s">
        <v>46</v>
      </c>
      <c r="J18" s="5" t="s">
        <v>46</v>
      </c>
      <c r="K18" s="5" t="s">
        <v>46</v>
      </c>
      <c r="L18" s="5" t="s">
        <v>46</v>
      </c>
      <c r="M18" s="5" t="s">
        <v>46</v>
      </c>
      <c r="N18" s="4" t="s">
        <v>131</v>
      </c>
      <c r="O18" s="4" t="s">
        <v>57</v>
      </c>
      <c r="P18" s="4">
        <v>1.0</v>
      </c>
      <c r="Q18" s="4" t="s">
        <v>57</v>
      </c>
      <c r="R18" s="16">
        <v>1.0</v>
      </c>
      <c r="S18" s="4" t="s">
        <v>57</v>
      </c>
      <c r="T18" s="16">
        <v>1.0</v>
      </c>
      <c r="U18" s="4" t="s">
        <v>57</v>
      </c>
      <c r="V18" s="16">
        <v>1.0</v>
      </c>
      <c r="W18" s="4" t="s">
        <v>57</v>
      </c>
      <c r="X18" s="16">
        <v>1.0</v>
      </c>
      <c r="Y18" s="4" t="s">
        <v>57</v>
      </c>
      <c r="Z18" s="16">
        <v>1.0</v>
      </c>
      <c r="AA18" s="4" t="s">
        <v>57</v>
      </c>
      <c r="AB18" s="16">
        <v>1.0</v>
      </c>
      <c r="AC18" s="4" t="s">
        <v>57</v>
      </c>
      <c r="AD18" s="16">
        <v>1.0</v>
      </c>
      <c r="AE18" s="4" t="s">
        <v>57</v>
      </c>
      <c r="AF18" s="16">
        <v>1.0</v>
      </c>
      <c r="AG18" s="4" t="s">
        <v>57</v>
      </c>
      <c r="AH18" s="16">
        <v>1.0</v>
      </c>
      <c r="AI18" s="4" t="s">
        <v>57</v>
      </c>
      <c r="AJ18" s="16">
        <v>1.0</v>
      </c>
      <c r="AK18" s="4" t="s">
        <v>57</v>
      </c>
      <c r="AL18" s="8">
        <v>1.0</v>
      </c>
      <c r="AM18" s="4" t="s">
        <v>57</v>
      </c>
      <c r="AN18" s="8">
        <v>1.0</v>
      </c>
      <c r="AO18" s="9"/>
    </row>
    <row r="19">
      <c r="A19" s="10" t="s">
        <v>134</v>
      </c>
      <c r="B19" s="11" t="s">
        <v>42</v>
      </c>
      <c r="C19" s="11" t="s">
        <v>43</v>
      </c>
      <c r="D19" s="11" t="s">
        <v>123</v>
      </c>
      <c r="E19" s="11" t="s">
        <v>129</v>
      </c>
      <c r="F19" s="11" t="s">
        <v>130</v>
      </c>
      <c r="G19" s="11" t="s">
        <v>46</v>
      </c>
      <c r="H19" s="11" t="s">
        <v>46</v>
      </c>
      <c r="I19" s="11" t="s">
        <v>46</v>
      </c>
      <c r="J19" s="11" t="s">
        <v>46</v>
      </c>
      <c r="K19" s="11" t="s">
        <v>46</v>
      </c>
      <c r="L19" s="11" t="s">
        <v>46</v>
      </c>
      <c r="M19" s="11" t="s">
        <v>46</v>
      </c>
      <c r="N19" s="10" t="s">
        <v>131</v>
      </c>
      <c r="O19" s="10" t="s">
        <v>57</v>
      </c>
      <c r="P19" s="10">
        <v>1.0</v>
      </c>
      <c r="Q19" s="10" t="s">
        <v>57</v>
      </c>
      <c r="R19" s="13">
        <v>1.0</v>
      </c>
      <c r="S19" s="10" t="s">
        <v>57</v>
      </c>
      <c r="T19" s="13">
        <v>1.0</v>
      </c>
      <c r="U19" s="10" t="s">
        <v>57</v>
      </c>
      <c r="V19" s="13">
        <v>1.0</v>
      </c>
      <c r="W19" s="10" t="s">
        <v>57</v>
      </c>
      <c r="X19" s="13">
        <v>1.0</v>
      </c>
      <c r="Y19" s="10" t="s">
        <v>57</v>
      </c>
      <c r="Z19" s="13">
        <v>1.0</v>
      </c>
      <c r="AA19" s="10" t="s">
        <v>57</v>
      </c>
      <c r="AB19" s="13">
        <v>1.0</v>
      </c>
      <c r="AC19" s="10" t="s">
        <v>57</v>
      </c>
      <c r="AD19" s="13">
        <v>1.0</v>
      </c>
      <c r="AE19" s="10" t="s">
        <v>57</v>
      </c>
      <c r="AF19" s="13">
        <v>1.0</v>
      </c>
      <c r="AG19" s="10" t="s">
        <v>57</v>
      </c>
      <c r="AH19" s="13">
        <v>1.0</v>
      </c>
      <c r="AI19" s="10" t="s">
        <v>57</v>
      </c>
      <c r="AJ19" s="13">
        <v>1.0</v>
      </c>
      <c r="AK19" s="10" t="s">
        <v>57</v>
      </c>
      <c r="AL19" s="14">
        <v>1.0</v>
      </c>
      <c r="AM19" s="10" t="s">
        <v>57</v>
      </c>
      <c r="AN19" s="14">
        <v>1.0</v>
      </c>
      <c r="AO19" s="15"/>
    </row>
    <row r="20">
      <c r="A20" s="4" t="s">
        <v>135</v>
      </c>
      <c r="B20" s="5" t="s">
        <v>42</v>
      </c>
      <c r="C20" s="5" t="s">
        <v>43</v>
      </c>
      <c r="D20" s="5" t="s">
        <v>123</v>
      </c>
      <c r="E20" s="5" t="s">
        <v>129</v>
      </c>
      <c r="F20" s="5" t="s">
        <v>60</v>
      </c>
      <c r="G20" s="5" t="s">
        <v>104</v>
      </c>
      <c r="H20" s="5" t="s">
        <v>46</v>
      </c>
      <c r="I20" s="5" t="s">
        <v>46</v>
      </c>
      <c r="J20" s="5" t="s">
        <v>46</v>
      </c>
      <c r="K20" s="5" t="s">
        <v>46</v>
      </c>
      <c r="L20" s="5" t="s">
        <v>46</v>
      </c>
      <c r="M20" s="5" t="s">
        <v>46</v>
      </c>
      <c r="N20" s="4" t="s">
        <v>131</v>
      </c>
      <c r="O20" s="4" t="s">
        <v>57</v>
      </c>
      <c r="P20" s="4">
        <v>1.0</v>
      </c>
      <c r="Q20" s="4" t="s">
        <v>57</v>
      </c>
      <c r="R20" s="16">
        <v>1.0</v>
      </c>
      <c r="S20" s="4" t="s">
        <v>57</v>
      </c>
      <c r="T20" s="16">
        <v>1.0</v>
      </c>
      <c r="U20" s="4" t="s">
        <v>57</v>
      </c>
      <c r="V20" s="16">
        <v>1.0</v>
      </c>
      <c r="W20" s="4" t="s">
        <v>57</v>
      </c>
      <c r="X20" s="16">
        <v>1.0</v>
      </c>
      <c r="Y20" s="4" t="s">
        <v>57</v>
      </c>
      <c r="Z20" s="16">
        <v>1.0</v>
      </c>
      <c r="AA20" s="4" t="s">
        <v>57</v>
      </c>
      <c r="AB20" s="16">
        <v>1.0</v>
      </c>
      <c r="AC20" s="4" t="s">
        <v>57</v>
      </c>
      <c r="AD20" s="16">
        <v>1.0</v>
      </c>
      <c r="AE20" s="4" t="s">
        <v>57</v>
      </c>
      <c r="AF20" s="16">
        <v>1.0</v>
      </c>
      <c r="AG20" s="4" t="s">
        <v>57</v>
      </c>
      <c r="AH20" s="16">
        <v>1.0</v>
      </c>
      <c r="AI20" s="4" t="s">
        <v>57</v>
      </c>
      <c r="AJ20" s="16">
        <v>1.0</v>
      </c>
      <c r="AK20" s="4" t="s">
        <v>57</v>
      </c>
      <c r="AL20" s="8">
        <v>1.0</v>
      </c>
      <c r="AM20" s="4" t="s">
        <v>57</v>
      </c>
      <c r="AN20" s="8">
        <v>1.0</v>
      </c>
      <c r="AO20" s="9"/>
    </row>
    <row r="21">
      <c r="A21" s="10" t="s">
        <v>136</v>
      </c>
      <c r="B21" s="11" t="s">
        <v>42</v>
      </c>
      <c r="C21" s="11" t="s">
        <v>137</v>
      </c>
      <c r="D21" s="11" t="s">
        <v>123</v>
      </c>
      <c r="E21" s="11" t="s">
        <v>74</v>
      </c>
      <c r="F21" s="11" t="s">
        <v>71</v>
      </c>
      <c r="G21" s="11" t="s">
        <v>75</v>
      </c>
      <c r="H21" s="11" t="s">
        <v>138</v>
      </c>
      <c r="I21" s="11" t="s">
        <v>97</v>
      </c>
      <c r="J21" s="11" t="s">
        <v>139</v>
      </c>
      <c r="K21" s="11" t="s">
        <v>85</v>
      </c>
      <c r="L21" s="11" t="s">
        <v>46</v>
      </c>
      <c r="M21" s="17" t="s">
        <v>140</v>
      </c>
      <c r="N21" s="10" t="s">
        <v>48</v>
      </c>
      <c r="O21" s="10"/>
      <c r="P21" s="10">
        <v>0.0</v>
      </c>
      <c r="Q21" s="10" t="s">
        <v>49</v>
      </c>
      <c r="R21" s="18">
        <f>IFERROR(__xludf.DUMMYFUNCTION("IF(
  OR(
    REGEXMATCH(LOWER(Q2),""sent""),
    REGEXMATCH(LOWER(Q2),""done"")
  ),
  1,
  0
)"),0.0)</f>
        <v>0</v>
      </c>
      <c r="S21" s="10" t="s">
        <v>50</v>
      </c>
      <c r="T21" s="18">
        <f>IFERROR(__xludf.DUMMYFUNCTION("IF(
  OR(
    REGEXMATCH(LOWER(S2),""sent""),
    REGEXMATCH(LOWER(S2),""done"")
  ),
  1,
  0
)"),0.0)</f>
        <v>0</v>
      </c>
      <c r="U21" s="10" t="s">
        <v>50</v>
      </c>
      <c r="V21" s="18">
        <f>IFERROR(__xludf.DUMMYFUNCTION("IF(
  OR(
    REGEXMATCH(LOWER(U2),""sent""),
    REGEXMATCH(LOWER(U2),""done"")
  ),
  1,
  0
)"),0.0)</f>
        <v>0</v>
      </c>
      <c r="W21" s="10" t="s">
        <v>101</v>
      </c>
      <c r="X21" s="13">
        <v>1.0</v>
      </c>
      <c r="Y21" s="10" t="s">
        <v>101</v>
      </c>
      <c r="Z21" s="18">
        <f>IFERROR(__xludf.DUMMYFUNCTION("IF(
  OR(
    REGEXMATCH(LOWER(Y2),""sent""),
    REGEXMATCH(LOWER(Y2),""done"")
  ),
  1,
  0
)"),1.0)</f>
        <v>1</v>
      </c>
      <c r="AA21" s="10" t="s">
        <v>101</v>
      </c>
      <c r="AB21" s="18">
        <f>IFERROR(__xludf.DUMMYFUNCTION("IF(
  OR(
    REGEXMATCH(LOWER(AA2),""sent""),
    REGEXMATCH(LOWER(AA2),""done"")
  ),
  1,
  0
)"),1.0)</f>
        <v>1</v>
      </c>
      <c r="AC21" s="10" t="s">
        <v>101</v>
      </c>
      <c r="AD21" s="18">
        <f>IFERROR(__xludf.DUMMYFUNCTION("IF(
  OR(
    REGEXMATCH(LOWER(AC2),""sent""),
    REGEXMATCH(LOWER(AC2),""done"")
  ),
  1,
  0
)"),1.0)</f>
        <v>1</v>
      </c>
      <c r="AE21" s="10" t="s">
        <v>101</v>
      </c>
      <c r="AF21" s="18">
        <f>IFERROR(__xludf.DUMMYFUNCTION("IF(
  OR(
    REGEXMATCH(LOWER(AE2),""sent""),
    REGEXMATCH(LOWER(AE2),""done"")
  ),
  1,
  0
)"),1.0)</f>
        <v>1</v>
      </c>
      <c r="AG21" s="10" t="s">
        <v>101</v>
      </c>
      <c r="AH21" s="18">
        <f>IFERROR(__xludf.DUMMYFUNCTION("IF(
  OR(
    REGEXMATCH(LOWER(AG2),""sent""),
    REGEXMATCH(LOWER(AG2),""done"")
  ),
  1,
  0
)"),1.0)</f>
        <v>1</v>
      </c>
      <c r="AI21" s="10" t="s">
        <v>101</v>
      </c>
      <c r="AJ21" s="18">
        <f>IFERROR(__xludf.DUMMYFUNCTION("IF(
  OR(
    REGEXMATCH(LOWER(AI2),""sent""),
    REGEXMATCH(LOWER(AI2),""done"")
  ),
  1,
  0
)"),1.0)</f>
        <v>1</v>
      </c>
      <c r="AK21" s="10" t="s">
        <v>101</v>
      </c>
      <c r="AL21" s="14">
        <f>IFERROR(__xludf.DUMMYFUNCTION("IF(
  OR(
    REGEXMATCH(LOWER(AK2),""sent""),
    REGEXMATCH(LOWER(AK2),""done"")
  ),
  1,
  0
)"),1.0)</f>
        <v>1</v>
      </c>
      <c r="AM21" s="10" t="s">
        <v>101</v>
      </c>
      <c r="AN21" s="14">
        <f>IFERROR(__xludf.DUMMYFUNCTION("IF(
  OR(
    REGEXMATCH(LOWER(AM2),""sent""),
    REGEXMATCH(LOWER(AM2),""done"")
  ),
  1,
  0
)"),1.0)</f>
        <v>1</v>
      </c>
      <c r="AO21" s="15"/>
    </row>
    <row r="22">
      <c r="A22" s="4" t="s">
        <v>141</v>
      </c>
      <c r="B22" s="5" t="s">
        <v>42</v>
      </c>
      <c r="C22" s="5" t="s">
        <v>137</v>
      </c>
      <c r="D22" s="5" t="s">
        <v>123</v>
      </c>
      <c r="E22" s="5" t="s">
        <v>74</v>
      </c>
      <c r="F22" s="5" t="s">
        <v>71</v>
      </c>
      <c r="G22" s="5" t="s">
        <v>61</v>
      </c>
      <c r="H22" s="5" t="s">
        <v>142</v>
      </c>
      <c r="I22" s="5" t="s">
        <v>97</v>
      </c>
      <c r="J22" s="5" t="s">
        <v>98</v>
      </c>
      <c r="K22" s="5" t="s">
        <v>85</v>
      </c>
      <c r="L22" s="5" t="s">
        <v>46</v>
      </c>
      <c r="M22" s="4" t="s">
        <v>143</v>
      </c>
      <c r="N22" s="4" t="s">
        <v>48</v>
      </c>
      <c r="O22" s="4"/>
      <c r="P22" s="4">
        <v>0.0</v>
      </c>
      <c r="Q22" s="4" t="s">
        <v>49</v>
      </c>
      <c r="R22" s="7">
        <f>IFERROR(__xludf.DUMMYFUNCTION("IF(
  OR(
    REGEXMATCH(LOWER(Q2),""sent""),
    REGEXMATCH(LOWER(Q2),""done"")
  ),
  1,
  0
)"),0.0)</f>
        <v>0</v>
      </c>
      <c r="S22" s="4" t="s">
        <v>49</v>
      </c>
      <c r="T22" s="7">
        <f>IFERROR(__xludf.DUMMYFUNCTION("IF(
  OR(
    REGEXMATCH(LOWER(S2),""sent""),
    REGEXMATCH(LOWER(S2),""done"")
  ),
  1,
  0
)"),0.0)</f>
        <v>0</v>
      </c>
      <c r="U22" s="4" t="s">
        <v>49</v>
      </c>
      <c r="V22" s="7">
        <f>IFERROR(__xludf.DUMMYFUNCTION("IF(
  OR(
    REGEXMATCH(LOWER(U2),""sent""),
    REGEXMATCH(LOWER(U2),""done"")
  ),
  1,
  0
)"),0.0)</f>
        <v>0</v>
      </c>
      <c r="W22" s="4" t="s">
        <v>50</v>
      </c>
      <c r="X22" s="7">
        <f>IFERROR(__xludf.DUMMYFUNCTION("IF(
  OR(
    REGEXMATCH(LOWER(W2),""sent""),
    REGEXMATCH(LOWER(W2),""done"")
  ),
  1,
  0
)"),0.0)</f>
        <v>0</v>
      </c>
      <c r="Y22" s="4" t="s">
        <v>101</v>
      </c>
      <c r="Z22" s="7">
        <f>IFERROR(__xludf.DUMMYFUNCTION("IF(
  OR(
    REGEXMATCH(LOWER(Y2),""sent""),
    REGEXMATCH(LOWER(Y2),""done"")
  ),
  1,
  0
)"),1.0)</f>
        <v>1</v>
      </c>
      <c r="AA22" s="4" t="s">
        <v>101</v>
      </c>
      <c r="AB22" s="7">
        <f>IFERROR(__xludf.DUMMYFUNCTION("IF(
  OR(
    REGEXMATCH(LOWER(AA2),""sent""),
    REGEXMATCH(LOWER(AA2),""done"")
  ),
  1,
  0
)"),1.0)</f>
        <v>1</v>
      </c>
      <c r="AC22" s="4" t="s">
        <v>101</v>
      </c>
      <c r="AD22" s="7">
        <f>IFERROR(__xludf.DUMMYFUNCTION("IF(
  OR(
    REGEXMATCH(LOWER(AC2),""sent""),
    REGEXMATCH(LOWER(AC2),""done"")
  ),
  1,
  0
)"),1.0)</f>
        <v>1</v>
      </c>
      <c r="AE22" s="4" t="s">
        <v>101</v>
      </c>
      <c r="AF22" s="7">
        <f>IFERROR(__xludf.DUMMYFUNCTION("IF(
  OR(
    REGEXMATCH(LOWER(AE2),""sent""),
    REGEXMATCH(LOWER(AE2),""done"")
  ),
  1,
  0
)"),1.0)</f>
        <v>1</v>
      </c>
      <c r="AG22" s="4" t="s">
        <v>101</v>
      </c>
      <c r="AH22" s="7">
        <f>IFERROR(__xludf.DUMMYFUNCTION("IF(
  OR(
    REGEXMATCH(LOWER(AG2),""sent""),
    REGEXMATCH(LOWER(AG2),""done"")
  ),
  1,
  0
)"),1.0)</f>
        <v>1</v>
      </c>
      <c r="AI22" s="4" t="s">
        <v>101</v>
      </c>
      <c r="AJ22" s="7">
        <f>IFERROR(__xludf.DUMMYFUNCTION("IF(
  OR(
    REGEXMATCH(LOWER(AI2),""sent""),
    REGEXMATCH(LOWER(AI2),""done"")
  ),
  1,
  0
)"),1.0)</f>
        <v>1</v>
      </c>
      <c r="AK22" s="4" t="s">
        <v>101</v>
      </c>
      <c r="AL22" s="8">
        <f>IFERROR(__xludf.DUMMYFUNCTION("IF(
  OR(
    REGEXMATCH(LOWER(AK2),""sent""),
    REGEXMATCH(LOWER(AK2),""done"")
  ),
  1,
  0
)"),1.0)</f>
        <v>1</v>
      </c>
      <c r="AM22" s="4" t="s">
        <v>101</v>
      </c>
      <c r="AN22" s="8">
        <f>IFERROR(__xludf.DUMMYFUNCTION("IF(
  OR(
    REGEXMATCH(LOWER(AM2),""sent""),
    REGEXMATCH(LOWER(AM2),""done"")
  ),
  1,
  0
)"),1.0)</f>
        <v>1</v>
      </c>
      <c r="AO22" s="9"/>
    </row>
    <row r="23">
      <c r="A23" s="10" t="s">
        <v>144</v>
      </c>
      <c r="B23" s="11" t="s">
        <v>42</v>
      </c>
      <c r="C23" s="11" t="s">
        <v>137</v>
      </c>
      <c r="D23" s="19">
        <v>46028.0</v>
      </c>
      <c r="E23" s="11" t="s">
        <v>145</v>
      </c>
      <c r="F23" s="11" t="s">
        <v>71</v>
      </c>
      <c r="G23" s="11" t="s">
        <v>75</v>
      </c>
      <c r="H23" s="11" t="s">
        <v>46</v>
      </c>
      <c r="I23" s="11" t="s">
        <v>46</v>
      </c>
      <c r="J23" s="11" t="s">
        <v>46</v>
      </c>
      <c r="K23" s="11" t="s">
        <v>46</v>
      </c>
      <c r="L23" s="11" t="s">
        <v>46</v>
      </c>
      <c r="M23" s="11" t="s">
        <v>46</v>
      </c>
      <c r="N23" s="10" t="s">
        <v>87</v>
      </c>
      <c r="O23" s="10"/>
      <c r="P23" s="10">
        <v>0.0</v>
      </c>
      <c r="Q23" s="10" t="s">
        <v>49</v>
      </c>
      <c r="R23" s="18">
        <f>IFERROR(__xludf.DUMMYFUNCTION("IF(
  OR(
    REGEXMATCH(LOWER(Q2),""sent""),
    REGEXMATCH(LOWER(Q2),""done"")
  ),
  1,
  0
)"),0.0)</f>
        <v>0</v>
      </c>
      <c r="S23" s="10" t="s">
        <v>49</v>
      </c>
      <c r="T23" s="18">
        <f>IFERROR(__xludf.DUMMYFUNCTION("IF(
  OR(
    REGEXMATCH(LOWER(S2),""sent""),
    REGEXMATCH(LOWER(S2),""done"")
  ),
  1,
  0
)"),0.0)</f>
        <v>0</v>
      </c>
      <c r="U23" s="10" t="s">
        <v>53</v>
      </c>
      <c r="V23" s="13">
        <v>1.0</v>
      </c>
      <c r="W23" s="10" t="s">
        <v>53</v>
      </c>
      <c r="X23" s="13">
        <v>1.0</v>
      </c>
      <c r="Y23" s="10" t="s">
        <v>53</v>
      </c>
      <c r="Z23" s="18">
        <f>IFERROR(__xludf.DUMMYFUNCTION("IF(
  OR(
    REGEXMATCH(LOWER(Y2),""sent""),
    REGEXMATCH(LOWER(Y2),""done"")
  ),
  1,
  0
)"),1.0)</f>
        <v>1</v>
      </c>
      <c r="AA23" s="10" t="s">
        <v>53</v>
      </c>
      <c r="AB23" s="18">
        <f>IFERROR(__xludf.DUMMYFUNCTION("IF(
  OR(
    REGEXMATCH(LOWER(AA2),""sent""),
    REGEXMATCH(LOWER(AA2),""done"")
  ),
  1,
  0
)"),1.0)</f>
        <v>1</v>
      </c>
      <c r="AC23" s="10" t="s">
        <v>53</v>
      </c>
      <c r="AD23" s="18">
        <f>IFERROR(__xludf.DUMMYFUNCTION("IF(
  OR(
    REGEXMATCH(LOWER(AC2),""sent""),
    REGEXMATCH(LOWER(AC2),""done"")
  ),
  1,
  0
)"),1.0)</f>
        <v>1</v>
      </c>
      <c r="AE23" s="10" t="s">
        <v>53</v>
      </c>
      <c r="AF23" s="18">
        <f>IFERROR(__xludf.DUMMYFUNCTION("IF(
  OR(
    REGEXMATCH(LOWER(AE2),""sent""),
    REGEXMATCH(LOWER(AE2),""done"")
  ),
  1,
  0
)"),1.0)</f>
        <v>1</v>
      </c>
      <c r="AG23" s="10" t="s">
        <v>53</v>
      </c>
      <c r="AH23" s="18">
        <f>IFERROR(__xludf.DUMMYFUNCTION("IF(
  OR(
    REGEXMATCH(LOWER(AG2),""sent""),
    REGEXMATCH(LOWER(AG2),""done"")
  ),
  1,
  0
)"),1.0)</f>
        <v>1</v>
      </c>
      <c r="AI23" s="10" t="s">
        <v>53</v>
      </c>
      <c r="AJ23" s="18">
        <f>IFERROR(__xludf.DUMMYFUNCTION("IF(
  OR(
    REGEXMATCH(LOWER(AI2),""sent""),
    REGEXMATCH(LOWER(AI2),""done"")
  ),
  1,
  0
)"),1.0)</f>
        <v>1</v>
      </c>
      <c r="AK23" s="10" t="s">
        <v>53</v>
      </c>
      <c r="AL23" s="14">
        <f>IFERROR(__xludf.DUMMYFUNCTION("IF(
  OR(
    REGEXMATCH(LOWER(AK2),""sent""),
    REGEXMATCH(LOWER(AK2),""done"")
  ),
  1,
  0
)"),1.0)</f>
        <v>1</v>
      </c>
      <c r="AM23" s="10" t="s">
        <v>53</v>
      </c>
      <c r="AN23" s="14">
        <f>IFERROR(__xludf.DUMMYFUNCTION("IF(
  OR(
    REGEXMATCH(LOWER(AM2),""sent""),
    REGEXMATCH(LOWER(AM2),""done"")
  ),
  1,
  0
)"),1.0)</f>
        <v>1</v>
      </c>
      <c r="AO23" s="15"/>
    </row>
    <row r="24">
      <c r="A24" s="4" t="s">
        <v>146</v>
      </c>
      <c r="B24" s="5" t="s">
        <v>42</v>
      </c>
      <c r="C24" s="5" t="s">
        <v>137</v>
      </c>
      <c r="D24" s="6">
        <v>46026.0</v>
      </c>
      <c r="E24" s="5" t="s">
        <v>74</v>
      </c>
      <c r="F24" s="5" t="s">
        <v>71</v>
      </c>
      <c r="G24" s="5" t="s">
        <v>147</v>
      </c>
      <c r="H24" s="5" t="s">
        <v>46</v>
      </c>
      <c r="I24" s="5" t="s">
        <v>46</v>
      </c>
      <c r="J24" s="5" t="s">
        <v>46</v>
      </c>
      <c r="K24" s="5" t="s">
        <v>46</v>
      </c>
      <c r="L24" s="5" t="s">
        <v>46</v>
      </c>
      <c r="M24" s="5" t="s">
        <v>46</v>
      </c>
      <c r="N24" s="4" t="s">
        <v>67</v>
      </c>
      <c r="O24" s="4"/>
      <c r="P24" s="4">
        <v>0.0</v>
      </c>
      <c r="Q24" s="4" t="s">
        <v>53</v>
      </c>
      <c r="R24" s="16">
        <v>1.0</v>
      </c>
      <c r="S24" s="4" t="s">
        <v>53</v>
      </c>
      <c r="T24" s="16">
        <v>1.0</v>
      </c>
      <c r="U24" s="4" t="s">
        <v>53</v>
      </c>
      <c r="V24" s="16">
        <v>1.0</v>
      </c>
      <c r="W24" s="4" t="s">
        <v>53</v>
      </c>
      <c r="X24" s="16">
        <v>1.0</v>
      </c>
      <c r="Y24" s="4" t="s">
        <v>53</v>
      </c>
      <c r="Z24" s="7">
        <f>IFERROR(__xludf.DUMMYFUNCTION("IF(
  OR(
    REGEXMATCH(LOWER(Y2),""sent""),
    REGEXMATCH(LOWER(Y2),""done"")
  ),
  1,
  0
)"),1.0)</f>
        <v>1</v>
      </c>
      <c r="AA24" s="4" t="s">
        <v>53</v>
      </c>
      <c r="AB24" s="7">
        <f>IFERROR(__xludf.DUMMYFUNCTION("IF(
  OR(
    REGEXMATCH(LOWER(AA2),""sent""),
    REGEXMATCH(LOWER(AA2),""done"")
  ),
  1,
  0
)"),1.0)</f>
        <v>1</v>
      </c>
      <c r="AC24" s="4" t="s">
        <v>53</v>
      </c>
      <c r="AD24" s="7">
        <f>IFERROR(__xludf.DUMMYFUNCTION("IF(
  OR(
    REGEXMATCH(LOWER(AC2),""sent""),
    REGEXMATCH(LOWER(AC2),""done"")
  ),
  1,
  0
)"),1.0)</f>
        <v>1</v>
      </c>
      <c r="AE24" s="4" t="s">
        <v>53</v>
      </c>
      <c r="AF24" s="7">
        <f>IFERROR(__xludf.DUMMYFUNCTION("IF(
  OR(
    REGEXMATCH(LOWER(AE2),""sent""),
    REGEXMATCH(LOWER(AE2),""done"")
  ),
  1,
  0
)"),1.0)</f>
        <v>1</v>
      </c>
      <c r="AG24" s="4" t="s">
        <v>53</v>
      </c>
      <c r="AH24" s="7">
        <f>IFERROR(__xludf.DUMMYFUNCTION("IF(
  OR(
    REGEXMATCH(LOWER(AG2),""sent""),
    REGEXMATCH(LOWER(AG2),""done"")
  ),
  1,
  0
)"),1.0)</f>
        <v>1</v>
      </c>
      <c r="AI24" s="4" t="s">
        <v>53</v>
      </c>
      <c r="AJ24" s="7">
        <f>IFERROR(__xludf.DUMMYFUNCTION("IF(
  OR(
    REGEXMATCH(LOWER(AI2),""sent""),
    REGEXMATCH(LOWER(AI2),""done"")
  ),
  1,
  0
)"),1.0)</f>
        <v>1</v>
      </c>
      <c r="AK24" s="4" t="s">
        <v>53</v>
      </c>
      <c r="AL24" s="8">
        <f>IFERROR(__xludf.DUMMYFUNCTION("IF(
  OR(
    REGEXMATCH(LOWER(AK2),""sent""),
    REGEXMATCH(LOWER(AK2),""done"")
  ),
  1,
  0
)"),1.0)</f>
        <v>1</v>
      </c>
      <c r="AM24" s="4" t="s">
        <v>53</v>
      </c>
      <c r="AN24" s="8">
        <f>IFERROR(__xludf.DUMMYFUNCTION("IF(
  OR(
    REGEXMATCH(LOWER(AM2),""sent""),
    REGEXMATCH(LOWER(AM2),""done"")
  ),
  1,
  0
)"),1.0)</f>
        <v>1</v>
      </c>
      <c r="AO24" s="9"/>
    </row>
    <row r="25">
      <c r="A25" s="10" t="s">
        <v>148</v>
      </c>
      <c r="B25" s="11" t="s">
        <v>42</v>
      </c>
      <c r="C25" s="11" t="s">
        <v>137</v>
      </c>
      <c r="D25" s="19">
        <v>46027.0</v>
      </c>
      <c r="E25" s="11" t="s">
        <v>74</v>
      </c>
      <c r="F25" s="11" t="s">
        <v>71</v>
      </c>
      <c r="G25" s="11" t="s">
        <v>61</v>
      </c>
      <c r="H25" s="11" t="s">
        <v>46</v>
      </c>
      <c r="I25" s="11" t="s">
        <v>46</v>
      </c>
      <c r="J25" s="11" t="s">
        <v>46</v>
      </c>
      <c r="K25" s="11" t="s">
        <v>46</v>
      </c>
      <c r="L25" s="11" t="s">
        <v>46</v>
      </c>
      <c r="M25" s="10" t="s">
        <v>149</v>
      </c>
      <c r="N25" s="10" t="s">
        <v>67</v>
      </c>
      <c r="O25" s="10"/>
      <c r="P25" s="10">
        <v>0.0</v>
      </c>
      <c r="Q25" s="10" t="s">
        <v>50</v>
      </c>
      <c r="R25" s="18">
        <f>IFERROR(__xludf.DUMMYFUNCTION("IF(
  OR(
    REGEXMATCH(LOWER(Q2),""sent""),
    REGEXMATCH(LOWER(Q2),""done"")
  ),
  1,
  0
)"),0.0)</f>
        <v>0</v>
      </c>
      <c r="S25" s="10" t="s">
        <v>50</v>
      </c>
      <c r="T25" s="18">
        <f>IFERROR(__xludf.DUMMYFUNCTION("IF(
  OR(
    REGEXMATCH(LOWER(S2),""sent""),
    REGEXMATCH(LOWER(S2),""done"")
  ),
  1,
  0
)"),0.0)</f>
        <v>0</v>
      </c>
      <c r="U25" s="10" t="s">
        <v>50</v>
      </c>
      <c r="V25" s="18">
        <f>IFERROR(__xludf.DUMMYFUNCTION("IF(
  OR(
    REGEXMATCH(LOWER(U2),""sent""),
    REGEXMATCH(LOWER(U2),""done"")
  ),
  1,
  0
)"),0.0)</f>
        <v>0</v>
      </c>
      <c r="W25" s="10" t="s">
        <v>53</v>
      </c>
      <c r="X25" s="13">
        <v>1.0</v>
      </c>
      <c r="Y25" s="10" t="s">
        <v>53</v>
      </c>
      <c r="Z25" s="18">
        <f>IFERROR(__xludf.DUMMYFUNCTION("IF(
  OR(
    REGEXMATCH(LOWER(Y2),""sent""),
    REGEXMATCH(LOWER(Y2),""done"")
  ),
  1,
  0
)"),1.0)</f>
        <v>1</v>
      </c>
      <c r="AA25" s="10" t="s">
        <v>53</v>
      </c>
      <c r="AB25" s="18">
        <f>IFERROR(__xludf.DUMMYFUNCTION("IF(
  OR(
    REGEXMATCH(LOWER(AA2),""sent""),
    REGEXMATCH(LOWER(AA2),""done"")
  ),
  1,
  0
)"),1.0)</f>
        <v>1</v>
      </c>
      <c r="AC25" s="10" t="s">
        <v>53</v>
      </c>
      <c r="AD25" s="18">
        <f>IFERROR(__xludf.DUMMYFUNCTION("IF(
  OR(
    REGEXMATCH(LOWER(AC2),""sent""),
    REGEXMATCH(LOWER(AC2),""done"")
  ),
  1,
  0
)"),1.0)</f>
        <v>1</v>
      </c>
      <c r="AE25" s="10" t="s">
        <v>53</v>
      </c>
      <c r="AF25" s="18">
        <f>IFERROR(__xludf.DUMMYFUNCTION("IF(
  OR(
    REGEXMATCH(LOWER(AE2),""sent""),
    REGEXMATCH(LOWER(AE2),""done"")
  ),
  1,
  0
)"),1.0)</f>
        <v>1</v>
      </c>
      <c r="AG25" s="10" t="s">
        <v>53</v>
      </c>
      <c r="AH25" s="18">
        <f>IFERROR(__xludf.DUMMYFUNCTION("IF(
  OR(
    REGEXMATCH(LOWER(AG2),""sent""),
    REGEXMATCH(LOWER(AG2),""done"")
  ),
  1,
  0
)"),1.0)</f>
        <v>1</v>
      </c>
      <c r="AI25" s="10" t="s">
        <v>53</v>
      </c>
      <c r="AJ25" s="18">
        <f>IFERROR(__xludf.DUMMYFUNCTION("IF(
  OR(
    REGEXMATCH(LOWER(AI2),""sent""),
    REGEXMATCH(LOWER(AI2),""done"")
  ),
  1,
  0
)"),1.0)</f>
        <v>1</v>
      </c>
      <c r="AK25" s="10" t="s">
        <v>53</v>
      </c>
      <c r="AL25" s="14">
        <f>IFERROR(__xludf.DUMMYFUNCTION("IF(
  OR(
    REGEXMATCH(LOWER(AK2),""sent""),
    REGEXMATCH(LOWER(AK2),""done"")
  ),
  1,
  0
)"),1.0)</f>
        <v>1</v>
      </c>
      <c r="AM25" s="10" t="s">
        <v>53</v>
      </c>
      <c r="AN25" s="14">
        <f>IFERROR(__xludf.DUMMYFUNCTION("IF(
  OR(
    REGEXMATCH(LOWER(AM2),""sent""),
    REGEXMATCH(LOWER(AM2),""done"")
  ),
  1,
  0
)"),1.0)</f>
        <v>1</v>
      </c>
      <c r="AO25" s="15"/>
    </row>
    <row r="26">
      <c r="A26" s="4" t="s">
        <v>150</v>
      </c>
      <c r="B26" s="5" t="s">
        <v>42</v>
      </c>
      <c r="C26" s="5" t="s">
        <v>151</v>
      </c>
      <c r="D26" s="6">
        <v>46027.0</v>
      </c>
      <c r="E26" s="5" t="s">
        <v>152</v>
      </c>
      <c r="F26" s="5" t="s">
        <v>71</v>
      </c>
      <c r="G26" s="5" t="s">
        <v>109</v>
      </c>
      <c r="H26" s="5" t="s">
        <v>46</v>
      </c>
      <c r="I26" s="5" t="s">
        <v>46</v>
      </c>
      <c r="J26" s="5" t="s">
        <v>46</v>
      </c>
      <c r="K26" s="5" t="s">
        <v>46</v>
      </c>
      <c r="L26" s="5" t="s">
        <v>46</v>
      </c>
      <c r="M26" s="4" t="s">
        <v>153</v>
      </c>
      <c r="N26" s="4" t="s">
        <v>77</v>
      </c>
      <c r="O26" s="4"/>
      <c r="P26" s="4">
        <v>0.0</v>
      </c>
      <c r="Q26" s="4" t="s">
        <v>49</v>
      </c>
      <c r="R26" s="7">
        <v>0.0</v>
      </c>
      <c r="S26" s="4" t="s">
        <v>49</v>
      </c>
      <c r="T26" s="7">
        <v>0.0</v>
      </c>
      <c r="U26" s="4" t="s">
        <v>52</v>
      </c>
      <c r="V26" s="7">
        <v>0.0</v>
      </c>
      <c r="W26" s="4" t="s">
        <v>53</v>
      </c>
      <c r="X26" s="16">
        <v>1.0</v>
      </c>
      <c r="Y26" s="4" t="s">
        <v>53</v>
      </c>
      <c r="Z26" s="16">
        <v>1.0</v>
      </c>
      <c r="AA26" s="4" t="s">
        <v>53</v>
      </c>
      <c r="AB26" s="16">
        <v>1.0</v>
      </c>
      <c r="AC26" s="4" t="s">
        <v>53</v>
      </c>
      <c r="AD26" s="16">
        <v>1.0</v>
      </c>
      <c r="AE26" s="4" t="s">
        <v>53</v>
      </c>
      <c r="AF26" s="16">
        <v>1.0</v>
      </c>
      <c r="AG26" s="4" t="s">
        <v>53</v>
      </c>
      <c r="AH26" s="16">
        <v>1.0</v>
      </c>
      <c r="AI26" s="4" t="s">
        <v>88</v>
      </c>
      <c r="AJ26" s="16">
        <v>1.0</v>
      </c>
      <c r="AK26" s="4" t="s">
        <v>88</v>
      </c>
      <c r="AL26" s="8">
        <v>1.0</v>
      </c>
      <c r="AM26" s="4" t="s">
        <v>88</v>
      </c>
      <c r="AN26" s="8">
        <v>1.0</v>
      </c>
      <c r="AO26" s="9"/>
    </row>
    <row r="27">
      <c r="A27" s="10" t="s">
        <v>154</v>
      </c>
      <c r="B27" s="11" t="s">
        <v>42</v>
      </c>
      <c r="C27" s="11" t="s">
        <v>155</v>
      </c>
      <c r="D27" s="19">
        <v>46015.0</v>
      </c>
      <c r="E27" s="11" t="s">
        <v>95</v>
      </c>
      <c r="F27" s="11" t="s">
        <v>71</v>
      </c>
      <c r="G27" s="11" t="s">
        <v>156</v>
      </c>
      <c r="H27" s="11">
        <v>350.0</v>
      </c>
      <c r="I27" s="11" t="s">
        <v>157</v>
      </c>
      <c r="J27" s="11" t="s">
        <v>98</v>
      </c>
      <c r="K27" s="11" t="s">
        <v>85</v>
      </c>
      <c r="L27" s="11" t="s">
        <v>158</v>
      </c>
      <c r="M27" s="10" t="s">
        <v>159</v>
      </c>
      <c r="N27" s="10" t="s">
        <v>87</v>
      </c>
      <c r="O27" s="10"/>
      <c r="P27" s="10">
        <v>0.0</v>
      </c>
      <c r="Q27" s="10" t="s">
        <v>52</v>
      </c>
      <c r="R27" s="13">
        <v>0.0</v>
      </c>
      <c r="S27" s="10" t="s">
        <v>52</v>
      </c>
      <c r="T27" s="13">
        <v>0.0</v>
      </c>
      <c r="U27" s="10" t="s">
        <v>53</v>
      </c>
      <c r="V27" s="13">
        <v>1.0</v>
      </c>
      <c r="W27" s="10" t="s">
        <v>53</v>
      </c>
      <c r="X27" s="13">
        <v>1.0</v>
      </c>
      <c r="Y27" s="10" t="s">
        <v>53</v>
      </c>
      <c r="Z27" s="18">
        <v>1.0</v>
      </c>
      <c r="AA27" s="10" t="s">
        <v>53</v>
      </c>
      <c r="AB27" s="18">
        <v>1.0</v>
      </c>
      <c r="AC27" s="10" t="s">
        <v>53</v>
      </c>
      <c r="AD27" s="18">
        <v>1.0</v>
      </c>
      <c r="AE27" s="10" t="s">
        <v>53</v>
      </c>
      <c r="AF27" s="18">
        <v>1.0</v>
      </c>
      <c r="AG27" s="10" t="s">
        <v>53</v>
      </c>
      <c r="AH27" s="18">
        <v>1.0</v>
      </c>
      <c r="AI27" s="10" t="s">
        <v>53</v>
      </c>
      <c r="AJ27" s="18">
        <v>1.0</v>
      </c>
      <c r="AK27" s="10" t="s">
        <v>53</v>
      </c>
      <c r="AL27" s="14">
        <v>1.0</v>
      </c>
      <c r="AM27" s="10" t="s">
        <v>53</v>
      </c>
      <c r="AN27" s="14">
        <v>1.0</v>
      </c>
      <c r="AO27" s="15"/>
    </row>
    <row r="28">
      <c r="A28" s="4" t="s">
        <v>160</v>
      </c>
      <c r="B28" s="5" t="s">
        <v>42</v>
      </c>
      <c r="C28" s="5" t="s">
        <v>161</v>
      </c>
      <c r="D28" s="6">
        <v>46009.0</v>
      </c>
      <c r="E28" s="5" t="s">
        <v>59</v>
      </c>
      <c r="F28" s="5" t="s">
        <v>45</v>
      </c>
      <c r="G28" s="5" t="s">
        <v>46</v>
      </c>
      <c r="H28" s="5" t="s">
        <v>46</v>
      </c>
      <c r="I28" s="5" t="s">
        <v>46</v>
      </c>
      <c r="J28" s="5" t="s">
        <v>46</v>
      </c>
      <c r="K28" s="5" t="s">
        <v>46</v>
      </c>
      <c r="L28" s="5" t="s">
        <v>46</v>
      </c>
      <c r="M28" s="4" t="s">
        <v>162</v>
      </c>
      <c r="N28" s="4" t="s">
        <v>48</v>
      </c>
      <c r="O28" s="4"/>
      <c r="P28" s="4">
        <v>0.0</v>
      </c>
      <c r="Q28" s="4" t="s">
        <v>49</v>
      </c>
      <c r="R28" s="16">
        <v>0.0</v>
      </c>
      <c r="S28" s="4" t="s">
        <v>49</v>
      </c>
      <c r="T28" s="16">
        <v>0.0</v>
      </c>
      <c r="U28" s="4" t="s">
        <v>50</v>
      </c>
      <c r="V28" s="16">
        <v>0.0</v>
      </c>
      <c r="W28" s="4" t="s">
        <v>52</v>
      </c>
      <c r="X28" s="16">
        <v>0.0</v>
      </c>
      <c r="Y28" s="4" t="s">
        <v>53</v>
      </c>
      <c r="Z28" s="7">
        <v>1.0</v>
      </c>
      <c r="AA28" s="4" t="s">
        <v>53</v>
      </c>
      <c r="AB28" s="7">
        <v>1.0</v>
      </c>
      <c r="AC28" s="4" t="s">
        <v>53</v>
      </c>
      <c r="AD28" s="7">
        <v>1.0</v>
      </c>
      <c r="AE28" s="4" t="s">
        <v>53</v>
      </c>
      <c r="AF28" s="7">
        <v>1.0</v>
      </c>
      <c r="AG28" s="4" t="s">
        <v>53</v>
      </c>
      <c r="AH28" s="7">
        <v>1.0</v>
      </c>
      <c r="AI28" s="4" t="s">
        <v>53</v>
      </c>
      <c r="AJ28" s="7">
        <v>1.0</v>
      </c>
      <c r="AK28" s="4" t="s">
        <v>53</v>
      </c>
      <c r="AL28" s="8">
        <v>1.0</v>
      </c>
      <c r="AM28" s="4" t="s">
        <v>53</v>
      </c>
      <c r="AN28" s="8">
        <v>1.0</v>
      </c>
      <c r="AO28" s="9"/>
    </row>
    <row r="29">
      <c r="A29" s="20" t="s">
        <v>163</v>
      </c>
      <c r="B29" s="11" t="s">
        <v>164</v>
      </c>
      <c r="C29" s="11" t="s">
        <v>165</v>
      </c>
      <c r="D29" s="21" t="s">
        <v>166</v>
      </c>
      <c r="E29" s="22" t="s">
        <v>167</v>
      </c>
      <c r="F29" s="11" t="s">
        <v>71</v>
      </c>
      <c r="G29" s="11" t="s">
        <v>104</v>
      </c>
      <c r="H29" s="11" t="s">
        <v>168</v>
      </c>
      <c r="I29" s="11" t="s">
        <v>169</v>
      </c>
      <c r="J29" s="11" t="s">
        <v>170</v>
      </c>
      <c r="K29" s="11" t="s">
        <v>85</v>
      </c>
      <c r="L29" s="11" t="s">
        <v>171</v>
      </c>
      <c r="M29" s="11" t="s">
        <v>46</v>
      </c>
      <c r="N29" s="10" t="s">
        <v>87</v>
      </c>
      <c r="O29" s="10"/>
      <c r="P29" s="10">
        <v>0.0</v>
      </c>
      <c r="Q29" s="10" t="s">
        <v>49</v>
      </c>
      <c r="R29" s="13">
        <v>0.0</v>
      </c>
      <c r="S29" s="10" t="s">
        <v>49</v>
      </c>
      <c r="T29" s="13">
        <v>0.0</v>
      </c>
      <c r="U29" s="10" t="s">
        <v>49</v>
      </c>
      <c r="V29" s="13">
        <v>0.0</v>
      </c>
      <c r="W29" s="10" t="s">
        <v>50</v>
      </c>
      <c r="X29" s="13">
        <v>0.0</v>
      </c>
      <c r="Y29" s="10" t="s">
        <v>53</v>
      </c>
      <c r="Z29" s="13">
        <v>1.0</v>
      </c>
      <c r="AA29" s="10" t="s">
        <v>53</v>
      </c>
      <c r="AB29" s="18">
        <v>1.0</v>
      </c>
      <c r="AC29" s="10" t="s">
        <v>53</v>
      </c>
      <c r="AD29" s="18">
        <v>1.0</v>
      </c>
      <c r="AE29" s="10" t="s">
        <v>53</v>
      </c>
      <c r="AF29" s="18">
        <v>1.0</v>
      </c>
      <c r="AG29" s="10" t="s">
        <v>53</v>
      </c>
      <c r="AH29" s="18">
        <v>1.0</v>
      </c>
      <c r="AI29" s="10" t="s">
        <v>53</v>
      </c>
      <c r="AJ29" s="18">
        <v>1.0</v>
      </c>
      <c r="AK29" s="10" t="s">
        <v>53</v>
      </c>
      <c r="AL29" s="14">
        <v>1.0</v>
      </c>
      <c r="AM29" s="10" t="s">
        <v>53</v>
      </c>
      <c r="AN29" s="14">
        <v>1.0</v>
      </c>
      <c r="AO29" s="15"/>
    </row>
    <row r="30">
      <c r="A30" s="23" t="s">
        <v>172</v>
      </c>
      <c r="B30" s="5" t="s">
        <v>164</v>
      </c>
      <c r="C30" s="5" t="s">
        <v>173</v>
      </c>
      <c r="D30" s="24" t="s">
        <v>174</v>
      </c>
      <c r="E30" s="25" t="s">
        <v>175</v>
      </c>
      <c r="F30" s="5" t="s">
        <v>71</v>
      </c>
      <c r="G30" s="5" t="s">
        <v>104</v>
      </c>
      <c r="H30" s="5" t="s">
        <v>176</v>
      </c>
      <c r="I30" s="5" t="s">
        <v>177</v>
      </c>
      <c r="J30" s="5" t="s">
        <v>178</v>
      </c>
      <c r="K30" s="5" t="s">
        <v>179</v>
      </c>
      <c r="L30" s="5" t="s">
        <v>86</v>
      </c>
      <c r="M30" s="4" t="s">
        <v>180</v>
      </c>
      <c r="N30" s="4" t="s">
        <v>87</v>
      </c>
      <c r="O30" s="4"/>
      <c r="P30" s="4">
        <v>0.0</v>
      </c>
      <c r="Q30" s="4" t="s">
        <v>52</v>
      </c>
      <c r="R30" s="16">
        <v>0.0</v>
      </c>
      <c r="S30" s="4" t="s">
        <v>181</v>
      </c>
      <c r="T30" s="16">
        <v>0.0</v>
      </c>
      <c r="U30" s="4" t="s">
        <v>181</v>
      </c>
      <c r="V30" s="16">
        <v>0.0</v>
      </c>
      <c r="W30" s="4" t="s">
        <v>101</v>
      </c>
      <c r="X30" s="7">
        <v>1.0</v>
      </c>
      <c r="Y30" s="4" t="s">
        <v>101</v>
      </c>
      <c r="Z30" s="7">
        <v>1.0</v>
      </c>
      <c r="AA30" s="4" t="s">
        <v>101</v>
      </c>
      <c r="AB30" s="7">
        <v>1.0</v>
      </c>
      <c r="AC30" s="4" t="s">
        <v>101</v>
      </c>
      <c r="AD30" s="7">
        <v>1.0</v>
      </c>
      <c r="AE30" s="4" t="s">
        <v>101</v>
      </c>
      <c r="AF30" s="7">
        <v>1.0</v>
      </c>
      <c r="AG30" s="4" t="s">
        <v>101</v>
      </c>
      <c r="AH30" s="7">
        <v>1.0</v>
      </c>
      <c r="AI30" s="4" t="s">
        <v>101</v>
      </c>
      <c r="AJ30" s="7">
        <v>1.0</v>
      </c>
      <c r="AK30" s="4" t="s">
        <v>101</v>
      </c>
      <c r="AL30" s="8">
        <v>1.0</v>
      </c>
      <c r="AM30" s="4" t="s">
        <v>101</v>
      </c>
      <c r="AN30" s="8">
        <v>1.0</v>
      </c>
      <c r="AO30" s="9"/>
    </row>
    <row r="31">
      <c r="A31" s="20" t="s">
        <v>182</v>
      </c>
      <c r="B31" s="11" t="s">
        <v>164</v>
      </c>
      <c r="C31" s="11" t="s">
        <v>183</v>
      </c>
      <c r="D31" s="21" t="s">
        <v>184</v>
      </c>
      <c r="E31" s="22" t="s">
        <v>185</v>
      </c>
      <c r="F31" s="11" t="s">
        <v>71</v>
      </c>
      <c r="G31" s="11" t="s">
        <v>75</v>
      </c>
      <c r="H31" s="11">
        <v>40.0</v>
      </c>
      <c r="I31" s="11" t="s">
        <v>186</v>
      </c>
      <c r="J31" s="11" t="s">
        <v>98</v>
      </c>
      <c r="K31" s="11" t="s">
        <v>85</v>
      </c>
      <c r="L31" s="11" t="s">
        <v>86</v>
      </c>
      <c r="M31" s="17" t="s">
        <v>187</v>
      </c>
      <c r="N31" s="10" t="s">
        <v>87</v>
      </c>
      <c r="O31" s="10"/>
      <c r="P31" s="10">
        <v>0.0</v>
      </c>
      <c r="Q31" s="10" t="s">
        <v>101</v>
      </c>
      <c r="R31" s="13">
        <v>1.0</v>
      </c>
      <c r="S31" s="10" t="s">
        <v>101</v>
      </c>
      <c r="T31" s="13">
        <v>1.0</v>
      </c>
      <c r="U31" s="10" t="s">
        <v>101</v>
      </c>
      <c r="V31" s="13">
        <v>1.0</v>
      </c>
      <c r="W31" s="10" t="s">
        <v>101</v>
      </c>
      <c r="X31" s="18">
        <v>1.0</v>
      </c>
      <c r="Y31" s="10" t="s">
        <v>101</v>
      </c>
      <c r="Z31" s="18">
        <v>1.0</v>
      </c>
      <c r="AA31" s="10" t="s">
        <v>101</v>
      </c>
      <c r="AB31" s="18">
        <v>1.0</v>
      </c>
      <c r="AC31" s="10" t="s">
        <v>101</v>
      </c>
      <c r="AD31" s="18">
        <v>1.0</v>
      </c>
      <c r="AE31" s="10" t="s">
        <v>101</v>
      </c>
      <c r="AF31" s="18">
        <v>1.0</v>
      </c>
      <c r="AG31" s="10" t="s">
        <v>101</v>
      </c>
      <c r="AH31" s="18">
        <v>1.0</v>
      </c>
      <c r="AI31" s="10" t="s">
        <v>101</v>
      </c>
      <c r="AJ31" s="18">
        <v>1.0</v>
      </c>
      <c r="AK31" s="10" t="s">
        <v>101</v>
      </c>
      <c r="AL31" s="14">
        <v>1.0</v>
      </c>
      <c r="AM31" s="10" t="s">
        <v>101</v>
      </c>
      <c r="AN31" s="14">
        <v>1.0</v>
      </c>
      <c r="AO31" s="15"/>
    </row>
    <row r="32">
      <c r="A32" s="23" t="s">
        <v>188</v>
      </c>
      <c r="B32" s="5" t="s">
        <v>189</v>
      </c>
      <c r="C32" s="5" t="s">
        <v>190</v>
      </c>
      <c r="D32" s="25" t="s">
        <v>191</v>
      </c>
      <c r="E32" s="25" t="s">
        <v>192</v>
      </c>
      <c r="F32" s="5" t="s">
        <v>71</v>
      </c>
      <c r="G32" s="5" t="s">
        <v>75</v>
      </c>
      <c r="H32" s="5" t="s">
        <v>193</v>
      </c>
      <c r="I32" s="5" t="s">
        <v>194</v>
      </c>
      <c r="J32" s="5" t="s">
        <v>195</v>
      </c>
      <c r="K32" s="5" t="s">
        <v>85</v>
      </c>
      <c r="L32" s="5" t="s">
        <v>86</v>
      </c>
      <c r="M32" s="5" t="s">
        <v>46</v>
      </c>
      <c r="N32" s="4" t="s">
        <v>87</v>
      </c>
      <c r="O32" s="4"/>
      <c r="P32" s="4">
        <v>0.0</v>
      </c>
      <c r="Q32" s="4" t="s">
        <v>53</v>
      </c>
      <c r="R32" s="16">
        <v>1.0</v>
      </c>
      <c r="S32" s="4" t="s">
        <v>53</v>
      </c>
      <c r="T32" s="16">
        <v>1.0</v>
      </c>
      <c r="U32" s="4" t="s">
        <v>53</v>
      </c>
      <c r="V32" s="16">
        <v>1.0</v>
      </c>
      <c r="W32" s="4" t="s">
        <v>53</v>
      </c>
      <c r="X32" s="7">
        <v>1.0</v>
      </c>
      <c r="Y32" s="4" t="s">
        <v>53</v>
      </c>
      <c r="Z32" s="7">
        <v>1.0</v>
      </c>
      <c r="AA32" s="4" t="s">
        <v>53</v>
      </c>
      <c r="AB32" s="7">
        <v>1.0</v>
      </c>
      <c r="AC32" s="4" t="s">
        <v>53</v>
      </c>
      <c r="AD32" s="7">
        <v>1.0</v>
      </c>
      <c r="AE32" s="4" t="s">
        <v>53</v>
      </c>
      <c r="AF32" s="7">
        <v>1.0</v>
      </c>
      <c r="AG32" s="4" t="s">
        <v>53</v>
      </c>
      <c r="AH32" s="7">
        <v>1.0</v>
      </c>
      <c r="AI32" s="4" t="s">
        <v>53</v>
      </c>
      <c r="AJ32" s="7">
        <v>1.0</v>
      </c>
      <c r="AK32" s="4" t="s">
        <v>53</v>
      </c>
      <c r="AL32" s="8">
        <v>1.0</v>
      </c>
      <c r="AM32" s="4" t="s">
        <v>53</v>
      </c>
      <c r="AN32" s="8">
        <v>1.0</v>
      </c>
      <c r="AO32" s="9"/>
    </row>
    <row r="33">
      <c r="A33" s="20" t="s">
        <v>196</v>
      </c>
      <c r="B33" s="11" t="s">
        <v>189</v>
      </c>
      <c r="C33" s="11" t="s">
        <v>190</v>
      </c>
      <c r="D33" s="26">
        <v>45962.0</v>
      </c>
      <c r="E33" s="21" t="s">
        <v>74</v>
      </c>
      <c r="F33" s="11" t="s">
        <v>71</v>
      </c>
      <c r="G33" s="11" t="s">
        <v>197</v>
      </c>
      <c r="H33" s="11" t="s">
        <v>46</v>
      </c>
      <c r="I33" s="11" t="s">
        <v>46</v>
      </c>
      <c r="J33" s="11" t="s">
        <v>46</v>
      </c>
      <c r="K33" s="11" t="s">
        <v>46</v>
      </c>
      <c r="L33" s="11" t="s">
        <v>46</v>
      </c>
      <c r="M33" s="11" t="s">
        <v>46</v>
      </c>
      <c r="N33" s="10" t="s">
        <v>77</v>
      </c>
      <c r="O33" s="10"/>
      <c r="P33" s="10">
        <v>0.0</v>
      </c>
      <c r="Q33" s="10" t="s">
        <v>49</v>
      </c>
      <c r="R33" s="13">
        <v>0.0</v>
      </c>
      <c r="S33" s="10" t="s">
        <v>49</v>
      </c>
      <c r="T33" s="13">
        <v>0.0</v>
      </c>
      <c r="U33" s="10" t="s">
        <v>49</v>
      </c>
      <c r="V33" s="13">
        <v>0.0</v>
      </c>
      <c r="W33" s="10" t="s">
        <v>49</v>
      </c>
      <c r="X33" s="13">
        <v>0.0</v>
      </c>
      <c r="Y33" s="10" t="s">
        <v>52</v>
      </c>
      <c r="Z33" s="13">
        <v>0.0</v>
      </c>
      <c r="AA33" s="10" t="s">
        <v>53</v>
      </c>
      <c r="AB33" s="18">
        <v>1.0</v>
      </c>
      <c r="AC33" s="10" t="s">
        <v>53</v>
      </c>
      <c r="AD33" s="18">
        <v>1.0</v>
      </c>
      <c r="AE33" s="10" t="s">
        <v>53</v>
      </c>
      <c r="AF33" s="18">
        <v>1.0</v>
      </c>
      <c r="AG33" s="10" t="s">
        <v>53</v>
      </c>
      <c r="AH33" s="18">
        <v>1.0</v>
      </c>
      <c r="AI33" s="10" t="s">
        <v>53</v>
      </c>
      <c r="AJ33" s="18">
        <v>1.0</v>
      </c>
      <c r="AK33" s="10" t="s">
        <v>53</v>
      </c>
      <c r="AL33" s="14">
        <v>1.0</v>
      </c>
      <c r="AM33" s="10" t="s">
        <v>53</v>
      </c>
      <c r="AN33" s="14">
        <v>1.0</v>
      </c>
      <c r="AO33" s="15"/>
    </row>
    <row r="34">
      <c r="A34" s="23" t="s">
        <v>198</v>
      </c>
      <c r="B34" s="5" t="s">
        <v>189</v>
      </c>
      <c r="C34" s="5" t="s">
        <v>190</v>
      </c>
      <c r="D34" s="27">
        <v>45962.0</v>
      </c>
      <c r="E34" s="24" t="s">
        <v>74</v>
      </c>
      <c r="F34" s="5" t="s">
        <v>60</v>
      </c>
      <c r="G34" s="5" t="s">
        <v>199</v>
      </c>
      <c r="H34" s="5" t="s">
        <v>46</v>
      </c>
      <c r="I34" s="5" t="s">
        <v>46</v>
      </c>
      <c r="J34" s="5" t="s">
        <v>46</v>
      </c>
      <c r="K34" s="5" t="s">
        <v>46</v>
      </c>
      <c r="L34" s="5" t="s">
        <v>46</v>
      </c>
      <c r="M34" s="5" t="s">
        <v>46</v>
      </c>
      <c r="N34" s="4" t="s">
        <v>77</v>
      </c>
      <c r="O34" s="4"/>
      <c r="P34" s="4">
        <v>0.0</v>
      </c>
      <c r="Q34" s="4" t="s">
        <v>49</v>
      </c>
      <c r="R34" s="16">
        <v>0.0</v>
      </c>
      <c r="S34" s="4" t="s">
        <v>49</v>
      </c>
      <c r="T34" s="16">
        <v>0.0</v>
      </c>
      <c r="U34" s="4" t="s">
        <v>49</v>
      </c>
      <c r="V34" s="16">
        <v>0.0</v>
      </c>
      <c r="W34" s="4" t="s">
        <v>49</v>
      </c>
      <c r="X34" s="16">
        <v>0.0</v>
      </c>
      <c r="Y34" s="4" t="s">
        <v>52</v>
      </c>
      <c r="Z34" s="16">
        <v>0.0</v>
      </c>
      <c r="AA34" s="4" t="s">
        <v>53</v>
      </c>
      <c r="AB34" s="7">
        <v>1.0</v>
      </c>
      <c r="AC34" s="4" t="s">
        <v>53</v>
      </c>
      <c r="AD34" s="7">
        <v>1.0</v>
      </c>
      <c r="AE34" s="4" t="s">
        <v>53</v>
      </c>
      <c r="AF34" s="7">
        <v>1.0</v>
      </c>
      <c r="AG34" s="4" t="s">
        <v>53</v>
      </c>
      <c r="AH34" s="7">
        <v>1.0</v>
      </c>
      <c r="AI34" s="4" t="s">
        <v>53</v>
      </c>
      <c r="AJ34" s="7">
        <v>1.0</v>
      </c>
      <c r="AK34" s="4" t="s">
        <v>53</v>
      </c>
      <c r="AL34" s="8">
        <v>1.0</v>
      </c>
      <c r="AM34" s="4" t="s">
        <v>53</v>
      </c>
      <c r="AN34" s="8">
        <v>1.0</v>
      </c>
      <c r="AO34" s="9"/>
    </row>
    <row r="35">
      <c r="A35" s="20" t="s">
        <v>200</v>
      </c>
      <c r="B35" s="11" t="s">
        <v>189</v>
      </c>
      <c r="C35" s="11" t="s">
        <v>190</v>
      </c>
      <c r="D35" s="28">
        <v>45962.0</v>
      </c>
      <c r="E35" s="29" t="s">
        <v>201</v>
      </c>
      <c r="F35" s="11" t="s">
        <v>71</v>
      </c>
      <c r="G35" s="11" t="s">
        <v>75</v>
      </c>
      <c r="H35" s="11" t="s">
        <v>46</v>
      </c>
      <c r="I35" s="11" t="s">
        <v>46</v>
      </c>
      <c r="J35" s="11" t="s">
        <v>46</v>
      </c>
      <c r="K35" s="11" t="s">
        <v>46</v>
      </c>
      <c r="L35" s="11" t="s">
        <v>46</v>
      </c>
      <c r="M35" s="10" t="s">
        <v>202</v>
      </c>
      <c r="N35" s="10" t="s">
        <v>67</v>
      </c>
      <c r="O35" s="10"/>
      <c r="P35" s="10">
        <v>0.0</v>
      </c>
      <c r="Q35" s="10" t="s">
        <v>53</v>
      </c>
      <c r="R35" s="13">
        <v>1.0</v>
      </c>
      <c r="S35" s="10" t="s">
        <v>53</v>
      </c>
      <c r="T35" s="13">
        <v>1.0</v>
      </c>
      <c r="U35" s="10" t="s">
        <v>53</v>
      </c>
      <c r="V35" s="13">
        <v>1.0</v>
      </c>
      <c r="W35" s="10" t="s">
        <v>53</v>
      </c>
      <c r="X35" s="13">
        <v>1.0</v>
      </c>
      <c r="Y35" s="10" t="s">
        <v>53</v>
      </c>
      <c r="Z35" s="18">
        <f>IFERROR(__xludf.DUMMYFUNCTION("IF(
  OR(
    TRIM(LOWER(Y2))=""sent to client"",
    REGEXMATCH(TRIM(LOWER(Y2)),""^done\b"")
  ),
  1,
  0
)
"),1.0)</f>
        <v>1</v>
      </c>
      <c r="AA35" s="10" t="s">
        <v>53</v>
      </c>
      <c r="AB35" s="18">
        <f>IFERROR(__xludf.DUMMYFUNCTION("IF(
  OR(
    TRIM(LOWER(AA2))=""sent to client"",
    REGEXMATCH(TRIM(LOWER(AA2)),""^done\b"")
  ),
  1,
  0
)
"),1.0)</f>
        <v>1</v>
      </c>
      <c r="AC35" s="10" t="s">
        <v>53</v>
      </c>
      <c r="AD35" s="18">
        <f>IFERROR(__xludf.DUMMYFUNCTION("IF(
  OR(
    TRIM(LOWER(AC2))=""sent to client"",
    REGEXMATCH(TRIM(LOWER(AC2)),""^done\b"")
  ),
  1,
  0
)
"),1.0)</f>
        <v>1</v>
      </c>
      <c r="AE35" s="10" t="s">
        <v>53</v>
      </c>
      <c r="AF35" s="18">
        <f>IFERROR(__xludf.DUMMYFUNCTION("IF(
  OR(
    TRIM(LOWER(AE2))=""sent to client"",
    REGEXMATCH(TRIM(LOWER(AE2)),""^done\b"")
  ),
  1,
  0
)
"),1.0)</f>
        <v>1</v>
      </c>
      <c r="AG35" s="10" t="s">
        <v>53</v>
      </c>
      <c r="AH35" s="18">
        <f>IFERROR(__xludf.DUMMYFUNCTION("IF(
  OR(
    TRIM(LOWER(AG2))=""sent to client"",
    REGEXMATCH(TRIM(LOWER(AG2)),""^done\b"")
  ),
  1,
  0
)
"),1.0)</f>
        <v>1</v>
      </c>
      <c r="AI35" s="10" t="s">
        <v>53</v>
      </c>
      <c r="AJ35" s="18">
        <f>IFERROR(__xludf.DUMMYFUNCTION("IF(
  OR(
    TRIM(LOWER(AI2))=""sent to client"",
    REGEXMATCH(TRIM(LOWER(AI2)),""^done\b"")
  ),
  1,
  0
)
"),1.0)</f>
        <v>1</v>
      </c>
      <c r="AK35" s="10" t="s">
        <v>53</v>
      </c>
      <c r="AL35" s="14">
        <f>IFERROR(__xludf.DUMMYFUNCTION("IF(
  OR(
    TRIM(LOWER(AK2))=""sent to client"",
    REGEXMATCH(TRIM(LOWER(AK2)),""^done\b"")
  ),
  1,
  0
)
"),1.0)</f>
        <v>1</v>
      </c>
      <c r="AM35" s="10" t="s">
        <v>53</v>
      </c>
      <c r="AN35" s="14">
        <f>IFERROR(__xludf.DUMMYFUNCTION("IF(
  OR(
    TRIM(LOWER(AM2))=""sent to client"",
    REGEXMATCH(TRIM(LOWER(AM2)),""^done\b"")
  ),
  1,
  0
)
"),1.0)</f>
        <v>1</v>
      </c>
      <c r="AO35" s="15"/>
    </row>
    <row r="36">
      <c r="A36" s="23" t="s">
        <v>203</v>
      </c>
      <c r="B36" s="5" t="s">
        <v>189</v>
      </c>
      <c r="C36" s="5" t="s">
        <v>190</v>
      </c>
      <c r="D36" s="30">
        <v>45931.0</v>
      </c>
      <c r="E36" s="24" t="s">
        <v>74</v>
      </c>
      <c r="F36" s="5" t="s">
        <v>71</v>
      </c>
      <c r="G36" s="5" t="s">
        <v>204</v>
      </c>
      <c r="H36" s="5" t="s">
        <v>46</v>
      </c>
      <c r="I36" s="5" t="s">
        <v>46</v>
      </c>
      <c r="J36" s="5" t="s">
        <v>46</v>
      </c>
      <c r="K36" s="5" t="s">
        <v>46</v>
      </c>
      <c r="L36" s="5" t="s">
        <v>46</v>
      </c>
      <c r="M36" s="4" t="s">
        <v>205</v>
      </c>
      <c r="N36" s="4" t="s">
        <v>77</v>
      </c>
      <c r="O36" s="4"/>
      <c r="P36" s="4">
        <v>0.0</v>
      </c>
      <c r="Q36" s="4" t="s">
        <v>49</v>
      </c>
      <c r="R36" s="16">
        <v>0.0</v>
      </c>
      <c r="S36" s="4" t="s">
        <v>49</v>
      </c>
      <c r="T36" s="16">
        <v>0.0</v>
      </c>
      <c r="U36" s="4" t="s">
        <v>49</v>
      </c>
      <c r="V36" s="16">
        <v>0.0</v>
      </c>
      <c r="W36" s="4" t="s">
        <v>49</v>
      </c>
      <c r="X36" s="16">
        <v>0.0</v>
      </c>
      <c r="Y36" s="4" t="s">
        <v>49</v>
      </c>
      <c r="Z36" s="16">
        <v>0.0</v>
      </c>
      <c r="AA36" s="4" t="s">
        <v>53</v>
      </c>
      <c r="AB36" s="7">
        <v>1.0</v>
      </c>
      <c r="AC36" s="4" t="s">
        <v>53</v>
      </c>
      <c r="AD36" s="7">
        <v>1.0</v>
      </c>
      <c r="AE36" s="4" t="s">
        <v>53</v>
      </c>
      <c r="AF36" s="7">
        <v>1.0</v>
      </c>
      <c r="AG36" s="4" t="s">
        <v>53</v>
      </c>
      <c r="AH36" s="7">
        <v>1.0</v>
      </c>
      <c r="AI36" s="4" t="s">
        <v>53</v>
      </c>
      <c r="AJ36" s="7">
        <v>1.0</v>
      </c>
      <c r="AK36" s="4" t="s">
        <v>53</v>
      </c>
      <c r="AL36" s="8">
        <v>1.0</v>
      </c>
      <c r="AM36" s="4" t="s">
        <v>53</v>
      </c>
      <c r="AN36" s="8">
        <v>1.0</v>
      </c>
      <c r="AO36" s="9"/>
    </row>
    <row r="37">
      <c r="A37" s="20" t="s">
        <v>206</v>
      </c>
      <c r="B37" s="11" t="s">
        <v>189</v>
      </c>
      <c r="C37" s="11" t="s">
        <v>190</v>
      </c>
      <c r="D37" s="26">
        <v>45962.0</v>
      </c>
      <c r="E37" s="21" t="s">
        <v>74</v>
      </c>
      <c r="F37" s="11" t="s">
        <v>71</v>
      </c>
      <c r="G37" s="11" t="s">
        <v>104</v>
      </c>
      <c r="H37" s="11">
        <v>20.0</v>
      </c>
      <c r="I37" s="11" t="s">
        <v>207</v>
      </c>
      <c r="J37" s="11" t="s">
        <v>208</v>
      </c>
      <c r="K37" s="11" t="s">
        <v>209</v>
      </c>
      <c r="L37" s="11" t="s">
        <v>86</v>
      </c>
      <c r="M37" s="11" t="s">
        <v>46</v>
      </c>
      <c r="N37" s="10" t="s">
        <v>77</v>
      </c>
      <c r="O37" s="10"/>
      <c r="P37" s="10">
        <v>0.0</v>
      </c>
      <c r="Q37" s="10" t="s">
        <v>49</v>
      </c>
      <c r="R37" s="13">
        <v>0.0</v>
      </c>
      <c r="S37" s="10" t="s">
        <v>49</v>
      </c>
      <c r="T37" s="13">
        <v>0.0</v>
      </c>
      <c r="U37" s="10" t="s">
        <v>49</v>
      </c>
      <c r="V37" s="13">
        <v>0.0</v>
      </c>
      <c r="W37" s="10" t="s">
        <v>49</v>
      </c>
      <c r="X37" s="13">
        <v>0.0</v>
      </c>
      <c r="Y37" s="10" t="s">
        <v>53</v>
      </c>
      <c r="Z37" s="18">
        <v>1.0</v>
      </c>
      <c r="AA37" s="10" t="s">
        <v>53</v>
      </c>
      <c r="AB37" s="18">
        <v>1.0</v>
      </c>
      <c r="AC37" s="10" t="s">
        <v>53</v>
      </c>
      <c r="AD37" s="18">
        <v>1.0</v>
      </c>
      <c r="AE37" s="10" t="s">
        <v>53</v>
      </c>
      <c r="AF37" s="18">
        <v>1.0</v>
      </c>
      <c r="AG37" s="10" t="s">
        <v>53</v>
      </c>
      <c r="AH37" s="18">
        <v>1.0</v>
      </c>
      <c r="AI37" s="10" t="s">
        <v>53</v>
      </c>
      <c r="AJ37" s="18">
        <v>1.0</v>
      </c>
      <c r="AK37" s="10" t="s">
        <v>53</v>
      </c>
      <c r="AL37" s="14">
        <v>1.0</v>
      </c>
      <c r="AM37" s="10" t="s">
        <v>53</v>
      </c>
      <c r="AN37" s="14">
        <v>1.0</v>
      </c>
      <c r="AO37" s="15"/>
    </row>
    <row r="38">
      <c r="A38" s="23" t="s">
        <v>210</v>
      </c>
      <c r="B38" s="5" t="s">
        <v>189</v>
      </c>
      <c r="C38" s="5" t="s">
        <v>190</v>
      </c>
      <c r="D38" s="27">
        <v>45962.0</v>
      </c>
      <c r="E38" s="24" t="s">
        <v>74</v>
      </c>
      <c r="F38" s="5" t="s">
        <v>60</v>
      </c>
      <c r="G38" s="5" t="s">
        <v>46</v>
      </c>
      <c r="H38" s="5" t="s">
        <v>46</v>
      </c>
      <c r="I38" s="5" t="s">
        <v>46</v>
      </c>
      <c r="J38" s="5" t="s">
        <v>46</v>
      </c>
      <c r="K38" s="5" t="s">
        <v>46</v>
      </c>
      <c r="L38" s="5" t="s">
        <v>46</v>
      </c>
      <c r="M38" s="5" t="s">
        <v>46</v>
      </c>
      <c r="N38" s="4" t="s">
        <v>77</v>
      </c>
      <c r="O38" s="4"/>
      <c r="P38" s="4">
        <v>0.0</v>
      </c>
      <c r="Q38" s="4" t="s">
        <v>49</v>
      </c>
      <c r="R38" s="16">
        <v>0.0</v>
      </c>
      <c r="S38" s="4" t="s">
        <v>211</v>
      </c>
      <c r="T38" s="16">
        <v>0.0</v>
      </c>
      <c r="U38" s="4" t="s">
        <v>211</v>
      </c>
      <c r="V38" s="16">
        <v>0.0</v>
      </c>
      <c r="W38" s="4" t="s">
        <v>211</v>
      </c>
      <c r="X38" s="16">
        <v>0.0</v>
      </c>
      <c r="Y38" s="4" t="s">
        <v>52</v>
      </c>
      <c r="Z38" s="16">
        <v>0.0</v>
      </c>
      <c r="AA38" s="4" t="s">
        <v>53</v>
      </c>
      <c r="AB38" s="7">
        <v>1.0</v>
      </c>
      <c r="AC38" s="4" t="s">
        <v>53</v>
      </c>
      <c r="AD38" s="7">
        <v>1.0</v>
      </c>
      <c r="AE38" s="4" t="s">
        <v>53</v>
      </c>
      <c r="AF38" s="7">
        <v>1.0</v>
      </c>
      <c r="AG38" s="4" t="s">
        <v>53</v>
      </c>
      <c r="AH38" s="7">
        <v>1.0</v>
      </c>
      <c r="AI38" s="4" t="s">
        <v>53</v>
      </c>
      <c r="AJ38" s="7">
        <v>1.0</v>
      </c>
      <c r="AK38" s="4" t="s">
        <v>53</v>
      </c>
      <c r="AL38" s="8">
        <v>1.0</v>
      </c>
      <c r="AM38" s="4" t="s">
        <v>53</v>
      </c>
      <c r="AN38" s="8">
        <v>1.0</v>
      </c>
      <c r="AO38" s="9"/>
    </row>
    <row r="39">
      <c r="A39" s="20" t="s">
        <v>212</v>
      </c>
      <c r="B39" s="11" t="s">
        <v>189</v>
      </c>
      <c r="C39" s="11" t="s">
        <v>190</v>
      </c>
      <c r="D39" s="31" t="s">
        <v>213</v>
      </c>
      <c r="E39" s="21" t="s">
        <v>74</v>
      </c>
      <c r="F39" s="11" t="s">
        <v>45</v>
      </c>
      <c r="G39" s="11" t="s">
        <v>46</v>
      </c>
      <c r="H39" s="11" t="s">
        <v>46</v>
      </c>
      <c r="I39" s="11" t="s">
        <v>46</v>
      </c>
      <c r="J39" s="11" t="s">
        <v>46</v>
      </c>
      <c r="K39" s="11" t="s">
        <v>46</v>
      </c>
      <c r="L39" s="11" t="s">
        <v>46</v>
      </c>
      <c r="M39" s="11" t="s">
        <v>46</v>
      </c>
      <c r="N39" s="10" t="s">
        <v>48</v>
      </c>
      <c r="O39" s="10"/>
      <c r="P39" s="10">
        <v>0.0</v>
      </c>
      <c r="Q39" s="10" t="s">
        <v>49</v>
      </c>
      <c r="R39" s="13">
        <v>0.0</v>
      </c>
      <c r="S39" s="10" t="s">
        <v>49</v>
      </c>
      <c r="T39" s="13">
        <v>0.0</v>
      </c>
      <c r="U39" s="10" t="s">
        <v>52</v>
      </c>
      <c r="V39" s="13">
        <v>0.0</v>
      </c>
      <c r="W39" s="10" t="s">
        <v>53</v>
      </c>
      <c r="X39" s="18">
        <v>1.0</v>
      </c>
      <c r="Y39" s="10" t="s">
        <v>53</v>
      </c>
      <c r="Z39" s="18">
        <v>1.0</v>
      </c>
      <c r="AA39" s="10" t="s">
        <v>53</v>
      </c>
      <c r="AB39" s="18">
        <v>1.0</v>
      </c>
      <c r="AC39" s="10" t="s">
        <v>53</v>
      </c>
      <c r="AD39" s="18">
        <v>1.0</v>
      </c>
      <c r="AE39" s="10" t="s">
        <v>53</v>
      </c>
      <c r="AF39" s="18">
        <v>1.0</v>
      </c>
      <c r="AG39" s="10" t="s">
        <v>53</v>
      </c>
      <c r="AH39" s="18">
        <v>1.0</v>
      </c>
      <c r="AI39" s="10" t="s">
        <v>53</v>
      </c>
      <c r="AJ39" s="18">
        <v>1.0</v>
      </c>
      <c r="AK39" s="10" t="s">
        <v>53</v>
      </c>
      <c r="AL39" s="14">
        <v>1.0</v>
      </c>
      <c r="AM39" s="10" t="s">
        <v>53</v>
      </c>
      <c r="AN39" s="14">
        <v>1.0</v>
      </c>
      <c r="AO39" s="15"/>
    </row>
    <row r="40">
      <c r="A40" s="23" t="s">
        <v>214</v>
      </c>
      <c r="B40" s="5" t="s">
        <v>189</v>
      </c>
      <c r="C40" s="5" t="s">
        <v>190</v>
      </c>
      <c r="D40" s="27">
        <v>45962.0</v>
      </c>
      <c r="E40" s="24" t="s">
        <v>74</v>
      </c>
      <c r="F40" s="5" t="s">
        <v>71</v>
      </c>
      <c r="G40" s="5" t="s">
        <v>104</v>
      </c>
      <c r="H40" s="32">
        <v>46376.0</v>
      </c>
      <c r="I40" s="5" t="s">
        <v>186</v>
      </c>
      <c r="J40" s="5" t="s">
        <v>98</v>
      </c>
      <c r="K40" s="5" t="s">
        <v>85</v>
      </c>
      <c r="L40" s="5" t="s">
        <v>86</v>
      </c>
      <c r="M40" s="5" t="s">
        <v>46</v>
      </c>
      <c r="N40" s="4" t="s">
        <v>67</v>
      </c>
      <c r="O40" s="4"/>
      <c r="P40" s="4">
        <v>0.0</v>
      </c>
      <c r="Q40" s="4" t="s">
        <v>49</v>
      </c>
      <c r="R40" s="16">
        <v>0.0</v>
      </c>
      <c r="S40" s="4" t="s">
        <v>49</v>
      </c>
      <c r="T40" s="16">
        <v>0.0</v>
      </c>
      <c r="U40" s="4" t="s">
        <v>49</v>
      </c>
      <c r="V40" s="16">
        <v>0.0</v>
      </c>
      <c r="W40" s="4" t="s">
        <v>52</v>
      </c>
      <c r="X40" s="16">
        <v>0.0</v>
      </c>
      <c r="Y40" s="4" t="s">
        <v>101</v>
      </c>
      <c r="Z40" s="7">
        <v>1.0</v>
      </c>
      <c r="AA40" s="4" t="s">
        <v>101</v>
      </c>
      <c r="AB40" s="7">
        <v>1.0</v>
      </c>
      <c r="AC40" s="4" t="s">
        <v>101</v>
      </c>
      <c r="AD40" s="7">
        <v>1.0</v>
      </c>
      <c r="AE40" s="4" t="s">
        <v>101</v>
      </c>
      <c r="AF40" s="7">
        <v>1.0</v>
      </c>
      <c r="AG40" s="4" t="s">
        <v>101</v>
      </c>
      <c r="AH40" s="7">
        <v>1.0</v>
      </c>
      <c r="AI40" s="4" t="s">
        <v>101</v>
      </c>
      <c r="AJ40" s="7">
        <v>1.0</v>
      </c>
      <c r="AK40" s="4" t="s">
        <v>101</v>
      </c>
      <c r="AL40" s="8">
        <v>1.0</v>
      </c>
      <c r="AM40" s="4" t="s">
        <v>101</v>
      </c>
      <c r="AN40" s="8">
        <v>1.0</v>
      </c>
      <c r="AO40" s="9"/>
    </row>
    <row r="41">
      <c r="A41" s="20" t="s">
        <v>215</v>
      </c>
      <c r="B41" s="11" t="s">
        <v>189</v>
      </c>
      <c r="C41" s="11" t="s">
        <v>190</v>
      </c>
      <c r="D41" s="26">
        <v>45992.0</v>
      </c>
      <c r="E41" s="21" t="s">
        <v>74</v>
      </c>
      <c r="F41" s="11" t="s">
        <v>71</v>
      </c>
      <c r="G41" s="11" t="s">
        <v>216</v>
      </c>
      <c r="H41" s="11" t="s">
        <v>46</v>
      </c>
      <c r="I41" s="11" t="s">
        <v>46</v>
      </c>
      <c r="J41" s="11" t="s">
        <v>46</v>
      </c>
      <c r="K41" s="11" t="s">
        <v>46</v>
      </c>
      <c r="L41" s="11" t="s">
        <v>46</v>
      </c>
      <c r="M41" s="11" t="s">
        <v>46</v>
      </c>
      <c r="N41" s="10" t="s">
        <v>77</v>
      </c>
      <c r="O41" s="10"/>
      <c r="P41" s="10">
        <v>0.0</v>
      </c>
      <c r="Q41" s="10" t="s">
        <v>49</v>
      </c>
      <c r="R41" s="13">
        <v>0.0</v>
      </c>
      <c r="S41" s="10" t="s">
        <v>52</v>
      </c>
      <c r="T41" s="13">
        <v>0.0</v>
      </c>
      <c r="U41" s="10" t="s">
        <v>52</v>
      </c>
      <c r="V41" s="13">
        <v>0.0</v>
      </c>
      <c r="W41" s="10" t="s">
        <v>52</v>
      </c>
      <c r="X41" s="13">
        <v>0.0</v>
      </c>
      <c r="Y41" s="10" t="s">
        <v>49</v>
      </c>
      <c r="Z41" s="13">
        <v>0.0</v>
      </c>
      <c r="AA41" s="10" t="s">
        <v>49</v>
      </c>
      <c r="AB41" s="13">
        <v>0.0</v>
      </c>
      <c r="AC41" s="10" t="s">
        <v>49</v>
      </c>
      <c r="AD41" s="13">
        <v>0.0</v>
      </c>
      <c r="AE41" s="10" t="s">
        <v>211</v>
      </c>
      <c r="AF41" s="13">
        <v>0.0</v>
      </c>
      <c r="AG41" s="10" t="s">
        <v>211</v>
      </c>
      <c r="AH41" s="13">
        <v>0.0</v>
      </c>
      <c r="AI41" s="10" t="s">
        <v>52</v>
      </c>
      <c r="AJ41" s="13">
        <v>0.0</v>
      </c>
      <c r="AK41" s="10" t="s">
        <v>49</v>
      </c>
      <c r="AL41" s="14">
        <v>0.0</v>
      </c>
      <c r="AM41" s="10" t="s">
        <v>53</v>
      </c>
      <c r="AN41" s="14">
        <v>1.0</v>
      </c>
      <c r="AO41" s="15"/>
    </row>
    <row r="42">
      <c r="A42" s="23" t="s">
        <v>217</v>
      </c>
      <c r="B42" s="5" t="s">
        <v>189</v>
      </c>
      <c r="C42" s="5" t="s">
        <v>190</v>
      </c>
      <c r="D42" s="25" t="s">
        <v>218</v>
      </c>
      <c r="E42" s="25" t="s">
        <v>219</v>
      </c>
      <c r="F42" s="5" t="s">
        <v>220</v>
      </c>
      <c r="G42" s="5" t="s">
        <v>221</v>
      </c>
      <c r="H42" s="5" t="s">
        <v>46</v>
      </c>
      <c r="I42" s="5" t="s">
        <v>46</v>
      </c>
      <c r="J42" s="5" t="s">
        <v>46</v>
      </c>
      <c r="K42" s="5" t="s">
        <v>46</v>
      </c>
      <c r="L42" s="5" t="s">
        <v>46</v>
      </c>
      <c r="M42" s="4" t="s">
        <v>222</v>
      </c>
      <c r="N42" s="4" t="s">
        <v>67</v>
      </c>
      <c r="O42" s="4"/>
      <c r="P42" s="4"/>
      <c r="Q42" s="4" t="s">
        <v>49</v>
      </c>
      <c r="R42" s="16">
        <v>0.0</v>
      </c>
      <c r="S42" s="4" t="s">
        <v>49</v>
      </c>
      <c r="T42" s="16">
        <v>0.0</v>
      </c>
      <c r="U42" s="4" t="s">
        <v>49</v>
      </c>
      <c r="V42" s="16">
        <v>0.0</v>
      </c>
      <c r="W42" s="4" t="s">
        <v>49</v>
      </c>
      <c r="X42" s="16">
        <v>0.0</v>
      </c>
      <c r="Y42" s="4" t="s">
        <v>49</v>
      </c>
      <c r="Z42" s="16">
        <v>0.0</v>
      </c>
      <c r="AA42" s="4" t="s">
        <v>53</v>
      </c>
      <c r="AB42" s="7">
        <v>1.0</v>
      </c>
      <c r="AC42" s="4" t="s">
        <v>53</v>
      </c>
      <c r="AD42" s="7">
        <v>1.0</v>
      </c>
      <c r="AE42" s="4" t="s">
        <v>53</v>
      </c>
      <c r="AF42" s="7">
        <v>1.0</v>
      </c>
      <c r="AG42" s="4" t="s">
        <v>53</v>
      </c>
      <c r="AH42" s="7">
        <v>1.0</v>
      </c>
      <c r="AI42" s="4" t="s">
        <v>53</v>
      </c>
      <c r="AJ42" s="7">
        <v>1.0</v>
      </c>
      <c r="AK42" s="4" t="s">
        <v>53</v>
      </c>
      <c r="AL42" s="8">
        <v>1.0</v>
      </c>
      <c r="AM42" s="4" t="s">
        <v>53</v>
      </c>
      <c r="AN42" s="8">
        <v>1.0</v>
      </c>
      <c r="AO42" s="9"/>
    </row>
    <row r="43">
      <c r="A43" s="20" t="s">
        <v>223</v>
      </c>
      <c r="B43" s="11" t="s">
        <v>189</v>
      </c>
      <c r="C43" s="11" t="s">
        <v>190</v>
      </c>
      <c r="D43" s="31" t="s">
        <v>224</v>
      </c>
      <c r="E43" s="21" t="s">
        <v>74</v>
      </c>
      <c r="F43" s="11" t="s">
        <v>45</v>
      </c>
      <c r="G43" s="11" t="s">
        <v>46</v>
      </c>
      <c r="H43" s="11">
        <v>60.0</v>
      </c>
      <c r="I43" s="11" t="s">
        <v>225</v>
      </c>
      <c r="J43" s="11" t="s">
        <v>98</v>
      </c>
      <c r="K43" s="11" t="s">
        <v>85</v>
      </c>
      <c r="L43" s="11" t="s">
        <v>86</v>
      </c>
      <c r="M43" s="10" t="s">
        <v>226</v>
      </c>
      <c r="N43" s="10" t="s">
        <v>87</v>
      </c>
      <c r="O43" s="10" t="s">
        <v>57</v>
      </c>
      <c r="P43" s="10">
        <v>1.0</v>
      </c>
      <c r="Q43" s="10" t="s">
        <v>57</v>
      </c>
      <c r="R43" s="13">
        <v>1.0</v>
      </c>
      <c r="S43" s="10" t="s">
        <v>57</v>
      </c>
      <c r="T43" s="13">
        <v>1.0</v>
      </c>
      <c r="U43" s="10" t="s">
        <v>57</v>
      </c>
      <c r="V43" s="13">
        <v>1.0</v>
      </c>
      <c r="W43" s="10" t="s">
        <v>57</v>
      </c>
      <c r="X43" s="13">
        <v>1.0</v>
      </c>
      <c r="Y43" s="10" t="s">
        <v>57</v>
      </c>
      <c r="Z43" s="13">
        <v>1.0</v>
      </c>
      <c r="AA43" s="10" t="s">
        <v>57</v>
      </c>
      <c r="AB43" s="13">
        <v>1.0</v>
      </c>
      <c r="AC43" s="10" t="s">
        <v>57</v>
      </c>
      <c r="AD43" s="13">
        <v>1.0</v>
      </c>
      <c r="AE43" s="10" t="s">
        <v>57</v>
      </c>
      <c r="AF43" s="13">
        <v>1.0</v>
      </c>
      <c r="AG43" s="10" t="s">
        <v>57</v>
      </c>
      <c r="AH43" s="13">
        <v>1.0</v>
      </c>
      <c r="AI43" s="10" t="s">
        <v>57</v>
      </c>
      <c r="AJ43" s="13">
        <v>1.0</v>
      </c>
      <c r="AK43" s="10" t="s">
        <v>57</v>
      </c>
      <c r="AL43" s="14">
        <v>1.0</v>
      </c>
      <c r="AM43" s="10" t="s">
        <v>57</v>
      </c>
      <c r="AN43" s="14">
        <v>1.0</v>
      </c>
      <c r="AO43" s="15"/>
    </row>
    <row r="44">
      <c r="A44" s="23" t="s">
        <v>227</v>
      </c>
      <c r="B44" s="5" t="s">
        <v>189</v>
      </c>
      <c r="C44" s="5" t="s">
        <v>228</v>
      </c>
      <c r="D44" s="33" t="s">
        <v>229</v>
      </c>
      <c r="E44" s="24" t="s">
        <v>74</v>
      </c>
      <c r="F44" s="5" t="s">
        <v>71</v>
      </c>
      <c r="G44" s="5" t="s">
        <v>75</v>
      </c>
      <c r="H44" s="5" t="s">
        <v>46</v>
      </c>
      <c r="I44" s="5" t="s">
        <v>46</v>
      </c>
      <c r="J44" s="5" t="s">
        <v>46</v>
      </c>
      <c r="K44" s="5" t="s">
        <v>46</v>
      </c>
      <c r="L44" s="5" t="s">
        <v>46</v>
      </c>
      <c r="M44" s="4" t="s">
        <v>230</v>
      </c>
      <c r="N44" s="4" t="s">
        <v>48</v>
      </c>
      <c r="O44" s="4"/>
      <c r="P44" s="4">
        <v>0.0</v>
      </c>
      <c r="Q44" s="4" t="s">
        <v>49</v>
      </c>
      <c r="R44" s="7">
        <v>0.0</v>
      </c>
      <c r="S44" s="4" t="s">
        <v>231</v>
      </c>
      <c r="T44" s="16">
        <v>1.0</v>
      </c>
      <c r="U44" s="4" t="s">
        <v>88</v>
      </c>
      <c r="V44" s="16">
        <v>1.0</v>
      </c>
      <c r="W44" s="4" t="s">
        <v>88</v>
      </c>
      <c r="X44" s="16">
        <v>1.0</v>
      </c>
      <c r="Y44" s="4" t="s">
        <v>88</v>
      </c>
      <c r="Z44" s="16">
        <v>1.0</v>
      </c>
      <c r="AA44" s="4" t="s">
        <v>88</v>
      </c>
      <c r="AB44" s="16">
        <v>1.0</v>
      </c>
      <c r="AC44" s="4" t="s">
        <v>88</v>
      </c>
      <c r="AD44" s="16">
        <v>1.0</v>
      </c>
      <c r="AE44" s="4" t="s">
        <v>88</v>
      </c>
      <c r="AF44" s="16">
        <v>1.0</v>
      </c>
      <c r="AG44" s="4" t="s">
        <v>88</v>
      </c>
      <c r="AH44" s="16">
        <v>1.0</v>
      </c>
      <c r="AI44" s="4" t="s">
        <v>88</v>
      </c>
      <c r="AJ44" s="16">
        <v>1.0</v>
      </c>
      <c r="AK44" s="4" t="s">
        <v>88</v>
      </c>
      <c r="AL44" s="8">
        <v>1.0</v>
      </c>
      <c r="AM44" s="4" t="s">
        <v>88</v>
      </c>
      <c r="AN44" s="8">
        <v>1.0</v>
      </c>
      <c r="AO44" s="9"/>
    </row>
    <row r="45">
      <c r="A45" s="34" t="s">
        <v>232</v>
      </c>
      <c r="B45" s="11" t="s">
        <v>189</v>
      </c>
      <c r="C45" s="11" t="s">
        <v>190</v>
      </c>
      <c r="D45" s="31" t="s">
        <v>233</v>
      </c>
      <c r="E45" s="21" t="s">
        <v>74</v>
      </c>
      <c r="F45" s="11" t="s">
        <v>45</v>
      </c>
      <c r="G45" s="11" t="s">
        <v>46</v>
      </c>
      <c r="H45" s="11" t="s">
        <v>46</v>
      </c>
      <c r="I45" s="11" t="s">
        <v>46</v>
      </c>
      <c r="J45" s="11" t="s">
        <v>46</v>
      </c>
      <c r="K45" s="11" t="s">
        <v>46</v>
      </c>
      <c r="L45" s="11" t="s">
        <v>46</v>
      </c>
      <c r="M45" s="10" t="s">
        <v>234</v>
      </c>
      <c r="N45" s="10" t="s">
        <v>235</v>
      </c>
      <c r="O45" s="10" t="s">
        <v>57</v>
      </c>
      <c r="P45" s="10">
        <v>1.0</v>
      </c>
      <c r="Q45" s="10" t="s">
        <v>57</v>
      </c>
      <c r="R45" s="13">
        <v>1.0</v>
      </c>
      <c r="S45" s="10" t="s">
        <v>57</v>
      </c>
      <c r="T45" s="13">
        <v>1.0</v>
      </c>
      <c r="U45" s="10" t="s">
        <v>57</v>
      </c>
      <c r="V45" s="13">
        <v>1.0</v>
      </c>
      <c r="W45" s="10" t="s">
        <v>57</v>
      </c>
      <c r="X45" s="13">
        <v>1.0</v>
      </c>
      <c r="Y45" s="10" t="s">
        <v>57</v>
      </c>
      <c r="Z45" s="13">
        <v>1.0</v>
      </c>
      <c r="AA45" s="10" t="s">
        <v>57</v>
      </c>
      <c r="AB45" s="13">
        <v>1.0</v>
      </c>
      <c r="AC45" s="10" t="s">
        <v>57</v>
      </c>
      <c r="AD45" s="13">
        <v>1.0</v>
      </c>
      <c r="AE45" s="10" t="s">
        <v>57</v>
      </c>
      <c r="AF45" s="13">
        <v>1.0</v>
      </c>
      <c r="AG45" s="10" t="s">
        <v>57</v>
      </c>
      <c r="AH45" s="13">
        <v>1.0</v>
      </c>
      <c r="AI45" s="10" t="s">
        <v>57</v>
      </c>
      <c r="AJ45" s="13">
        <v>1.0</v>
      </c>
      <c r="AK45" s="10" t="s">
        <v>57</v>
      </c>
      <c r="AL45" s="14">
        <v>1.0</v>
      </c>
      <c r="AM45" s="10" t="s">
        <v>57</v>
      </c>
      <c r="AN45" s="14">
        <v>1.0</v>
      </c>
      <c r="AO45" s="15"/>
    </row>
    <row r="46">
      <c r="A46" s="23" t="s">
        <v>236</v>
      </c>
      <c r="B46" s="5" t="s">
        <v>189</v>
      </c>
      <c r="C46" s="5" t="s">
        <v>237</v>
      </c>
      <c r="D46" s="33" t="s">
        <v>238</v>
      </c>
      <c r="E46" s="24" t="s">
        <v>74</v>
      </c>
      <c r="F46" s="5" t="s">
        <v>71</v>
      </c>
      <c r="G46" s="5" t="s">
        <v>109</v>
      </c>
      <c r="H46" s="5" t="s">
        <v>46</v>
      </c>
      <c r="I46" s="5" t="s">
        <v>46</v>
      </c>
      <c r="J46" s="5" t="s">
        <v>46</v>
      </c>
      <c r="K46" s="5" t="s">
        <v>46</v>
      </c>
      <c r="L46" s="5" t="s">
        <v>46</v>
      </c>
      <c r="M46" s="4" t="s">
        <v>239</v>
      </c>
      <c r="N46" s="4" t="s">
        <v>67</v>
      </c>
      <c r="O46" s="4"/>
      <c r="P46" s="4">
        <v>0.0</v>
      </c>
      <c r="Q46" s="4" t="s">
        <v>49</v>
      </c>
      <c r="R46" s="16">
        <v>0.0</v>
      </c>
      <c r="S46" s="4" t="s">
        <v>211</v>
      </c>
      <c r="T46" s="16">
        <v>0.0</v>
      </c>
      <c r="U46" s="4" t="s">
        <v>211</v>
      </c>
      <c r="V46" s="16">
        <v>0.0</v>
      </c>
      <c r="W46" s="4" t="s">
        <v>107</v>
      </c>
      <c r="X46" s="16">
        <v>0.0</v>
      </c>
      <c r="Y46" s="4" t="s">
        <v>52</v>
      </c>
      <c r="Z46" s="16">
        <v>0.0</v>
      </c>
      <c r="AA46" s="4" t="s">
        <v>53</v>
      </c>
      <c r="AB46" s="7">
        <v>1.0</v>
      </c>
      <c r="AC46" s="4" t="s">
        <v>53</v>
      </c>
      <c r="AD46" s="7">
        <v>1.0</v>
      </c>
      <c r="AE46" s="4" t="s">
        <v>53</v>
      </c>
      <c r="AF46" s="7">
        <v>1.0</v>
      </c>
      <c r="AG46" s="4" t="s">
        <v>53</v>
      </c>
      <c r="AH46" s="7">
        <v>1.0</v>
      </c>
      <c r="AI46" s="4" t="s">
        <v>53</v>
      </c>
      <c r="AJ46" s="7">
        <v>1.0</v>
      </c>
      <c r="AK46" s="4" t="s">
        <v>53</v>
      </c>
      <c r="AL46" s="8">
        <v>1.0</v>
      </c>
      <c r="AM46" s="4" t="s">
        <v>53</v>
      </c>
      <c r="AN46" s="8">
        <v>1.0</v>
      </c>
      <c r="AO46" s="9"/>
    </row>
    <row r="47">
      <c r="A47" s="20" t="s">
        <v>240</v>
      </c>
      <c r="B47" s="11" t="s">
        <v>189</v>
      </c>
      <c r="C47" s="11" t="s">
        <v>237</v>
      </c>
      <c r="D47" s="31" t="s">
        <v>241</v>
      </c>
      <c r="E47" s="21" t="s">
        <v>74</v>
      </c>
      <c r="F47" s="11" t="s">
        <v>71</v>
      </c>
      <c r="G47" s="11" t="s">
        <v>242</v>
      </c>
      <c r="H47" s="11" t="s">
        <v>46</v>
      </c>
      <c r="I47" s="11" t="s">
        <v>46</v>
      </c>
      <c r="J47" s="11" t="s">
        <v>46</v>
      </c>
      <c r="K47" s="11" t="s">
        <v>46</v>
      </c>
      <c r="L47" s="11" t="s">
        <v>46</v>
      </c>
      <c r="M47" s="10" t="s">
        <v>243</v>
      </c>
      <c r="N47" s="10" t="s">
        <v>77</v>
      </c>
      <c r="O47" s="10"/>
      <c r="P47" s="10">
        <v>0.0</v>
      </c>
      <c r="Q47" s="10" t="s">
        <v>49</v>
      </c>
      <c r="R47" s="13">
        <v>0.0</v>
      </c>
      <c r="S47" s="10" t="s">
        <v>49</v>
      </c>
      <c r="T47" s="13">
        <v>0.0</v>
      </c>
      <c r="U47" s="10" t="s">
        <v>49</v>
      </c>
      <c r="V47" s="13">
        <v>0.0</v>
      </c>
      <c r="W47" s="10" t="s">
        <v>49</v>
      </c>
      <c r="X47" s="13">
        <v>0.0</v>
      </c>
      <c r="Y47" s="10" t="s">
        <v>53</v>
      </c>
      <c r="Z47" s="18">
        <v>1.0</v>
      </c>
      <c r="AA47" s="10" t="s">
        <v>53</v>
      </c>
      <c r="AB47" s="18">
        <v>1.0</v>
      </c>
      <c r="AC47" s="10" t="s">
        <v>53</v>
      </c>
      <c r="AD47" s="18">
        <v>1.0</v>
      </c>
      <c r="AE47" s="10" t="s">
        <v>53</v>
      </c>
      <c r="AF47" s="18">
        <v>1.0</v>
      </c>
      <c r="AG47" s="10" t="s">
        <v>53</v>
      </c>
      <c r="AH47" s="18">
        <v>1.0</v>
      </c>
      <c r="AI47" s="10" t="s">
        <v>53</v>
      </c>
      <c r="AJ47" s="18">
        <v>1.0</v>
      </c>
      <c r="AK47" s="10" t="s">
        <v>53</v>
      </c>
      <c r="AL47" s="14">
        <v>1.0</v>
      </c>
      <c r="AM47" s="10" t="s">
        <v>53</v>
      </c>
      <c r="AN47" s="14">
        <v>1.0</v>
      </c>
      <c r="AO47" s="15"/>
    </row>
    <row r="48">
      <c r="A48" s="23" t="s">
        <v>244</v>
      </c>
      <c r="B48" s="5" t="s">
        <v>189</v>
      </c>
      <c r="C48" s="5" t="s">
        <v>237</v>
      </c>
      <c r="D48" s="33" t="s">
        <v>245</v>
      </c>
      <c r="E48" s="24" t="s">
        <v>74</v>
      </c>
      <c r="F48" s="5" t="s">
        <v>71</v>
      </c>
      <c r="G48" s="5" t="s">
        <v>246</v>
      </c>
      <c r="H48" s="5">
        <v>40.0</v>
      </c>
      <c r="I48" s="5" t="s">
        <v>97</v>
      </c>
      <c r="J48" s="5" t="s">
        <v>98</v>
      </c>
      <c r="K48" s="5" t="s">
        <v>85</v>
      </c>
      <c r="L48" s="5" t="s">
        <v>86</v>
      </c>
      <c r="M48" s="4" t="s">
        <v>247</v>
      </c>
      <c r="N48" s="4" t="s">
        <v>48</v>
      </c>
      <c r="O48" s="4"/>
      <c r="P48" s="4">
        <v>0.0</v>
      </c>
      <c r="Q48" s="4" t="s">
        <v>49</v>
      </c>
      <c r="R48" s="16">
        <v>0.0</v>
      </c>
      <c r="S48" s="4" t="s">
        <v>49</v>
      </c>
      <c r="T48" s="16">
        <v>0.0</v>
      </c>
      <c r="U48" s="4" t="s">
        <v>50</v>
      </c>
      <c r="V48" s="16">
        <v>0.0</v>
      </c>
      <c r="W48" s="4" t="s">
        <v>50</v>
      </c>
      <c r="X48" s="16">
        <v>0.0</v>
      </c>
      <c r="Y48" s="4" t="s">
        <v>52</v>
      </c>
      <c r="Z48" s="16">
        <v>0.0</v>
      </c>
      <c r="AA48" s="4" t="s">
        <v>53</v>
      </c>
      <c r="AB48" s="7">
        <v>1.0</v>
      </c>
      <c r="AC48" s="4" t="s">
        <v>53</v>
      </c>
      <c r="AD48" s="7">
        <v>1.0</v>
      </c>
      <c r="AE48" s="4" t="s">
        <v>53</v>
      </c>
      <c r="AF48" s="7">
        <v>1.0</v>
      </c>
      <c r="AG48" s="4" t="s">
        <v>53</v>
      </c>
      <c r="AH48" s="7">
        <v>1.0</v>
      </c>
      <c r="AI48" s="4" t="s">
        <v>53</v>
      </c>
      <c r="AJ48" s="7">
        <v>1.0</v>
      </c>
      <c r="AK48" s="4" t="s">
        <v>53</v>
      </c>
      <c r="AL48" s="8">
        <v>1.0</v>
      </c>
      <c r="AM48" s="4" t="s">
        <v>53</v>
      </c>
      <c r="AN48" s="8">
        <v>1.0</v>
      </c>
      <c r="AO48" s="9"/>
    </row>
    <row r="49">
      <c r="A49" s="20" t="s">
        <v>248</v>
      </c>
      <c r="B49" s="11" t="s">
        <v>189</v>
      </c>
      <c r="C49" s="11" t="s">
        <v>237</v>
      </c>
      <c r="D49" s="31" t="s">
        <v>249</v>
      </c>
      <c r="E49" s="21" t="s">
        <v>74</v>
      </c>
      <c r="F49" s="11" t="s">
        <v>71</v>
      </c>
      <c r="G49" s="11" t="s">
        <v>250</v>
      </c>
      <c r="H49" s="11" t="s">
        <v>46</v>
      </c>
      <c r="I49" s="11" t="s">
        <v>46</v>
      </c>
      <c r="J49" s="11" t="s">
        <v>46</v>
      </c>
      <c r="K49" s="11" t="s">
        <v>46</v>
      </c>
      <c r="L49" s="11" t="s">
        <v>46</v>
      </c>
      <c r="M49" s="11" t="s">
        <v>46</v>
      </c>
      <c r="N49" s="10" t="s">
        <v>235</v>
      </c>
      <c r="O49" s="10"/>
      <c r="P49" s="10">
        <v>0.0</v>
      </c>
      <c r="Q49" s="10" t="s">
        <v>49</v>
      </c>
      <c r="R49" s="13">
        <v>0.0</v>
      </c>
      <c r="S49" s="10" t="s">
        <v>49</v>
      </c>
      <c r="T49" s="13">
        <v>0.0</v>
      </c>
      <c r="U49" s="10" t="s">
        <v>49</v>
      </c>
      <c r="V49" s="13">
        <v>0.0</v>
      </c>
      <c r="W49" s="10" t="s">
        <v>49</v>
      </c>
      <c r="X49" s="13">
        <v>0.0</v>
      </c>
      <c r="Y49" s="10" t="s">
        <v>52</v>
      </c>
      <c r="Z49" s="13">
        <v>0.0</v>
      </c>
      <c r="AA49" s="10" t="s">
        <v>53</v>
      </c>
      <c r="AB49" s="18">
        <v>1.0</v>
      </c>
      <c r="AC49" s="10" t="s">
        <v>53</v>
      </c>
      <c r="AD49" s="18">
        <v>1.0</v>
      </c>
      <c r="AE49" s="10" t="s">
        <v>53</v>
      </c>
      <c r="AF49" s="18">
        <v>1.0</v>
      </c>
      <c r="AG49" s="10" t="s">
        <v>53</v>
      </c>
      <c r="AH49" s="18">
        <v>1.0</v>
      </c>
      <c r="AI49" s="10" t="s">
        <v>53</v>
      </c>
      <c r="AJ49" s="18">
        <v>1.0</v>
      </c>
      <c r="AK49" s="10" t="s">
        <v>53</v>
      </c>
      <c r="AL49" s="14">
        <v>1.0</v>
      </c>
      <c r="AM49" s="10" t="s">
        <v>53</v>
      </c>
      <c r="AN49" s="14">
        <v>1.0</v>
      </c>
      <c r="AO49" s="15"/>
    </row>
    <row r="50">
      <c r="A50" s="23" t="s">
        <v>251</v>
      </c>
      <c r="B50" s="5" t="s">
        <v>189</v>
      </c>
      <c r="C50" s="5" t="s">
        <v>237</v>
      </c>
      <c r="D50" s="33" t="s">
        <v>123</v>
      </c>
      <c r="E50" s="24" t="s">
        <v>74</v>
      </c>
      <c r="F50" s="5" t="s">
        <v>45</v>
      </c>
      <c r="G50" s="5" t="s">
        <v>46</v>
      </c>
      <c r="H50" s="5" t="s">
        <v>46</v>
      </c>
      <c r="I50" s="5" t="s">
        <v>46</v>
      </c>
      <c r="J50" s="5" t="s">
        <v>46</v>
      </c>
      <c r="K50" s="5" t="s">
        <v>46</v>
      </c>
      <c r="L50" s="5" t="s">
        <v>46</v>
      </c>
      <c r="M50" s="5" t="s">
        <v>46</v>
      </c>
      <c r="N50" s="4" t="s">
        <v>77</v>
      </c>
      <c r="O50" s="4"/>
      <c r="P50" s="4">
        <v>0.0</v>
      </c>
      <c r="Q50" s="4" t="s">
        <v>49</v>
      </c>
      <c r="R50" s="16">
        <v>0.0</v>
      </c>
      <c r="S50" s="4" t="s">
        <v>211</v>
      </c>
      <c r="T50" s="16">
        <v>0.0</v>
      </c>
      <c r="U50" s="4" t="s">
        <v>49</v>
      </c>
      <c r="V50" s="16">
        <v>0.0</v>
      </c>
      <c r="W50" s="4" t="s">
        <v>49</v>
      </c>
      <c r="X50" s="16">
        <v>0.0</v>
      </c>
      <c r="Y50" s="4" t="s">
        <v>49</v>
      </c>
      <c r="Z50" s="16">
        <v>0.0</v>
      </c>
      <c r="AA50" s="4" t="s">
        <v>49</v>
      </c>
      <c r="AB50" s="16">
        <v>0.0</v>
      </c>
      <c r="AC50" s="4" t="s">
        <v>53</v>
      </c>
      <c r="AD50" s="7">
        <v>1.0</v>
      </c>
      <c r="AE50" s="4" t="s">
        <v>53</v>
      </c>
      <c r="AF50" s="7">
        <v>1.0</v>
      </c>
      <c r="AG50" s="4" t="s">
        <v>53</v>
      </c>
      <c r="AH50" s="7">
        <v>1.0</v>
      </c>
      <c r="AI50" s="4" t="s">
        <v>53</v>
      </c>
      <c r="AJ50" s="7">
        <v>1.0</v>
      </c>
      <c r="AK50" s="4" t="s">
        <v>53</v>
      </c>
      <c r="AL50" s="8">
        <v>1.0</v>
      </c>
      <c r="AM50" s="4" t="s">
        <v>53</v>
      </c>
      <c r="AN50" s="8">
        <v>1.0</v>
      </c>
      <c r="AO50" s="9"/>
    </row>
    <row r="51">
      <c r="A51" s="20" t="s">
        <v>252</v>
      </c>
      <c r="B51" s="11" t="s">
        <v>189</v>
      </c>
      <c r="C51" s="11" t="s">
        <v>237</v>
      </c>
      <c r="D51" s="26">
        <v>45962.0</v>
      </c>
      <c r="E51" s="21" t="s">
        <v>74</v>
      </c>
      <c r="F51" s="11" t="s">
        <v>71</v>
      </c>
      <c r="G51" s="11" t="s">
        <v>253</v>
      </c>
      <c r="H51" s="11" t="s">
        <v>46</v>
      </c>
      <c r="I51" s="11" t="s">
        <v>46</v>
      </c>
      <c r="J51" s="11" t="s">
        <v>46</v>
      </c>
      <c r="K51" s="11" t="s">
        <v>46</v>
      </c>
      <c r="L51" s="11" t="s">
        <v>46</v>
      </c>
      <c r="M51" s="11" t="s">
        <v>46</v>
      </c>
      <c r="N51" s="10" t="s">
        <v>77</v>
      </c>
      <c r="O51" s="10"/>
      <c r="P51" s="10">
        <v>0.0</v>
      </c>
      <c r="Q51" s="10" t="s">
        <v>49</v>
      </c>
      <c r="R51" s="13">
        <v>0.0</v>
      </c>
      <c r="S51" s="10" t="s">
        <v>49</v>
      </c>
      <c r="T51" s="13">
        <v>0.0</v>
      </c>
      <c r="U51" s="10" t="s">
        <v>211</v>
      </c>
      <c r="V51" s="13">
        <v>0.0</v>
      </c>
      <c r="W51" s="10" t="s">
        <v>52</v>
      </c>
      <c r="X51" s="13">
        <v>0.0</v>
      </c>
      <c r="Y51" s="10" t="s">
        <v>53</v>
      </c>
      <c r="Z51" s="18">
        <v>1.0</v>
      </c>
      <c r="AA51" s="10" t="s">
        <v>53</v>
      </c>
      <c r="AB51" s="18">
        <v>1.0</v>
      </c>
      <c r="AC51" s="10" t="s">
        <v>53</v>
      </c>
      <c r="AD51" s="18">
        <v>1.0</v>
      </c>
      <c r="AE51" s="10" t="s">
        <v>53</v>
      </c>
      <c r="AF51" s="18">
        <v>1.0</v>
      </c>
      <c r="AG51" s="10" t="s">
        <v>53</v>
      </c>
      <c r="AH51" s="18">
        <v>1.0</v>
      </c>
      <c r="AI51" s="10" t="s">
        <v>53</v>
      </c>
      <c r="AJ51" s="18">
        <v>1.0</v>
      </c>
      <c r="AK51" s="10" t="s">
        <v>53</v>
      </c>
      <c r="AL51" s="14">
        <v>1.0</v>
      </c>
      <c r="AM51" s="10" t="s">
        <v>53</v>
      </c>
      <c r="AN51" s="14">
        <v>1.0</v>
      </c>
      <c r="AO51" s="15"/>
    </row>
    <row r="52">
      <c r="A52" s="23" t="s">
        <v>254</v>
      </c>
      <c r="B52" s="5" t="s">
        <v>189</v>
      </c>
      <c r="C52" s="5" t="s">
        <v>237</v>
      </c>
      <c r="D52" s="33" t="s">
        <v>255</v>
      </c>
      <c r="E52" s="24" t="s">
        <v>74</v>
      </c>
      <c r="F52" s="5" t="s">
        <v>71</v>
      </c>
      <c r="G52" s="5" t="s">
        <v>199</v>
      </c>
      <c r="H52" s="5" t="s">
        <v>256</v>
      </c>
      <c r="I52" s="5" t="s">
        <v>257</v>
      </c>
      <c r="J52" s="5" t="s">
        <v>195</v>
      </c>
      <c r="K52" s="5" t="s">
        <v>85</v>
      </c>
      <c r="L52" s="5" t="s">
        <v>258</v>
      </c>
      <c r="M52" s="4" t="s">
        <v>259</v>
      </c>
      <c r="N52" s="4" t="s">
        <v>48</v>
      </c>
      <c r="O52" s="4"/>
      <c r="P52" s="4">
        <v>0.0</v>
      </c>
      <c r="Q52" s="4" t="s">
        <v>50</v>
      </c>
      <c r="R52" s="16">
        <v>0.0</v>
      </c>
      <c r="S52" s="4" t="s">
        <v>53</v>
      </c>
      <c r="T52" s="7">
        <v>1.0</v>
      </c>
      <c r="U52" s="4" t="s">
        <v>53</v>
      </c>
      <c r="V52" s="7">
        <v>1.0</v>
      </c>
      <c r="W52" s="4" t="s">
        <v>53</v>
      </c>
      <c r="X52" s="7">
        <v>1.0</v>
      </c>
      <c r="Y52" s="4" t="s">
        <v>53</v>
      </c>
      <c r="Z52" s="7">
        <v>1.0</v>
      </c>
      <c r="AA52" s="4" t="s">
        <v>53</v>
      </c>
      <c r="AB52" s="7">
        <v>1.0</v>
      </c>
      <c r="AC52" s="4" t="s">
        <v>53</v>
      </c>
      <c r="AD52" s="7">
        <v>1.0</v>
      </c>
      <c r="AE52" s="4" t="s">
        <v>53</v>
      </c>
      <c r="AF52" s="7">
        <v>1.0</v>
      </c>
      <c r="AG52" s="4" t="s">
        <v>53</v>
      </c>
      <c r="AH52" s="7">
        <v>1.0</v>
      </c>
      <c r="AI52" s="4" t="s">
        <v>53</v>
      </c>
      <c r="AJ52" s="7">
        <v>1.0</v>
      </c>
      <c r="AK52" s="4" t="s">
        <v>53</v>
      </c>
      <c r="AL52" s="8">
        <v>1.0</v>
      </c>
      <c r="AM52" s="4" t="s">
        <v>53</v>
      </c>
      <c r="AN52" s="8">
        <v>1.0</v>
      </c>
      <c r="AO52" s="9"/>
    </row>
    <row r="53">
      <c r="A53" s="20" t="s">
        <v>260</v>
      </c>
      <c r="B53" s="11" t="s">
        <v>189</v>
      </c>
      <c r="C53" s="11" t="s">
        <v>237</v>
      </c>
      <c r="D53" s="31" t="s">
        <v>261</v>
      </c>
      <c r="E53" s="21" t="s">
        <v>74</v>
      </c>
      <c r="F53" s="11" t="s">
        <v>71</v>
      </c>
      <c r="G53" s="11" t="s">
        <v>262</v>
      </c>
      <c r="H53" s="11" t="s">
        <v>46</v>
      </c>
      <c r="I53" s="11" t="s">
        <v>46</v>
      </c>
      <c r="J53" s="11" t="s">
        <v>46</v>
      </c>
      <c r="K53" s="11" t="s">
        <v>46</v>
      </c>
      <c r="L53" s="11" t="s">
        <v>46</v>
      </c>
      <c r="M53" s="10" t="s">
        <v>234</v>
      </c>
      <c r="N53" s="10" t="s">
        <v>263</v>
      </c>
      <c r="O53" s="10" t="s">
        <v>57</v>
      </c>
      <c r="P53" s="10">
        <v>1.0</v>
      </c>
      <c r="Q53" s="10" t="s">
        <v>57</v>
      </c>
      <c r="R53" s="13">
        <v>1.0</v>
      </c>
      <c r="S53" s="10" t="s">
        <v>57</v>
      </c>
      <c r="T53" s="13">
        <v>1.0</v>
      </c>
      <c r="U53" s="10" t="s">
        <v>57</v>
      </c>
      <c r="V53" s="13">
        <v>1.0</v>
      </c>
      <c r="W53" s="10" t="s">
        <v>57</v>
      </c>
      <c r="X53" s="13">
        <v>1.0</v>
      </c>
      <c r="Y53" s="10" t="s">
        <v>57</v>
      </c>
      <c r="Z53" s="13">
        <v>1.0</v>
      </c>
      <c r="AA53" s="10" t="s">
        <v>57</v>
      </c>
      <c r="AB53" s="13">
        <v>1.0</v>
      </c>
      <c r="AC53" s="10" t="s">
        <v>57</v>
      </c>
      <c r="AD53" s="13">
        <v>1.0</v>
      </c>
      <c r="AE53" s="10" t="s">
        <v>57</v>
      </c>
      <c r="AF53" s="13">
        <v>1.0</v>
      </c>
      <c r="AG53" s="10" t="s">
        <v>57</v>
      </c>
      <c r="AH53" s="13">
        <v>1.0</v>
      </c>
      <c r="AI53" s="10" t="s">
        <v>57</v>
      </c>
      <c r="AJ53" s="13">
        <v>1.0</v>
      </c>
      <c r="AK53" s="10" t="s">
        <v>57</v>
      </c>
      <c r="AL53" s="14">
        <v>1.0</v>
      </c>
      <c r="AM53" s="10" t="s">
        <v>57</v>
      </c>
      <c r="AN53" s="14">
        <v>1.0</v>
      </c>
      <c r="AO53" s="15"/>
    </row>
    <row r="54">
      <c r="A54" s="23" t="s">
        <v>264</v>
      </c>
      <c r="B54" s="5" t="s">
        <v>189</v>
      </c>
      <c r="C54" s="5" t="s">
        <v>237</v>
      </c>
      <c r="D54" s="33" t="s">
        <v>123</v>
      </c>
      <c r="E54" s="24" t="s">
        <v>74</v>
      </c>
      <c r="F54" s="5" t="s">
        <v>45</v>
      </c>
      <c r="G54" s="5" t="s">
        <v>46</v>
      </c>
      <c r="H54" s="5" t="s">
        <v>46</v>
      </c>
      <c r="I54" s="5" t="s">
        <v>46</v>
      </c>
      <c r="J54" s="5" t="s">
        <v>46</v>
      </c>
      <c r="K54" s="5" t="s">
        <v>46</v>
      </c>
      <c r="L54" s="5" t="s">
        <v>46</v>
      </c>
      <c r="M54" s="4" t="s">
        <v>234</v>
      </c>
      <c r="N54" s="4" t="s">
        <v>235</v>
      </c>
      <c r="O54" s="4" t="s">
        <v>57</v>
      </c>
      <c r="P54" s="4">
        <v>1.0</v>
      </c>
      <c r="Q54" s="4" t="s">
        <v>57</v>
      </c>
      <c r="R54" s="16">
        <v>1.0</v>
      </c>
      <c r="S54" s="4" t="s">
        <v>57</v>
      </c>
      <c r="T54" s="16">
        <v>1.0</v>
      </c>
      <c r="U54" s="4" t="s">
        <v>57</v>
      </c>
      <c r="V54" s="16">
        <v>1.0</v>
      </c>
      <c r="W54" s="4" t="s">
        <v>57</v>
      </c>
      <c r="X54" s="16">
        <v>1.0</v>
      </c>
      <c r="Y54" s="4" t="s">
        <v>57</v>
      </c>
      <c r="Z54" s="16">
        <v>1.0</v>
      </c>
      <c r="AA54" s="4" t="s">
        <v>57</v>
      </c>
      <c r="AB54" s="16">
        <v>1.0</v>
      </c>
      <c r="AC54" s="4" t="s">
        <v>57</v>
      </c>
      <c r="AD54" s="16">
        <v>1.0</v>
      </c>
      <c r="AE54" s="4" t="s">
        <v>57</v>
      </c>
      <c r="AF54" s="16">
        <v>1.0</v>
      </c>
      <c r="AG54" s="4" t="s">
        <v>57</v>
      </c>
      <c r="AH54" s="16">
        <v>1.0</v>
      </c>
      <c r="AI54" s="4" t="s">
        <v>57</v>
      </c>
      <c r="AJ54" s="16">
        <v>1.0</v>
      </c>
      <c r="AK54" s="4" t="s">
        <v>57</v>
      </c>
      <c r="AL54" s="8">
        <v>1.0</v>
      </c>
      <c r="AM54" s="4" t="s">
        <v>57</v>
      </c>
      <c r="AN54" s="8">
        <v>1.0</v>
      </c>
      <c r="AO54" s="9"/>
    </row>
    <row r="55">
      <c r="A55" s="20" t="s">
        <v>265</v>
      </c>
      <c r="B55" s="11" t="s">
        <v>189</v>
      </c>
      <c r="C55" s="11" t="s">
        <v>266</v>
      </c>
      <c r="D55" s="22" t="s">
        <v>267</v>
      </c>
      <c r="E55" s="22" t="s">
        <v>268</v>
      </c>
      <c r="F55" s="11" t="s">
        <v>71</v>
      </c>
      <c r="G55" s="11" t="s">
        <v>104</v>
      </c>
      <c r="H55" s="11">
        <v>100.0</v>
      </c>
      <c r="I55" s="11" t="s">
        <v>269</v>
      </c>
      <c r="J55" s="11" t="s">
        <v>98</v>
      </c>
      <c r="K55" s="11" t="s">
        <v>85</v>
      </c>
      <c r="L55" s="11" t="s">
        <v>86</v>
      </c>
      <c r="M55" s="10" t="s">
        <v>270</v>
      </c>
      <c r="N55" s="10" t="s">
        <v>48</v>
      </c>
      <c r="O55" s="10"/>
      <c r="P55" s="10">
        <v>0.0</v>
      </c>
      <c r="Q55" s="10" t="s">
        <v>49</v>
      </c>
      <c r="R55" s="18">
        <v>0.0</v>
      </c>
      <c r="S55" s="10" t="s">
        <v>49</v>
      </c>
      <c r="T55" s="18">
        <v>0.0</v>
      </c>
      <c r="U55" s="10" t="s">
        <v>49</v>
      </c>
      <c r="V55" s="18">
        <v>0.0</v>
      </c>
      <c r="W55" s="10" t="s">
        <v>53</v>
      </c>
      <c r="X55" s="18">
        <v>0.0</v>
      </c>
      <c r="Y55" s="10" t="s">
        <v>53</v>
      </c>
      <c r="Z55" s="13">
        <v>1.0</v>
      </c>
      <c r="AA55" s="10" t="s">
        <v>88</v>
      </c>
      <c r="AB55" s="13">
        <v>1.0</v>
      </c>
      <c r="AC55" s="10" t="s">
        <v>88</v>
      </c>
      <c r="AD55" s="13">
        <v>1.0</v>
      </c>
      <c r="AE55" s="10" t="s">
        <v>88</v>
      </c>
      <c r="AF55" s="13">
        <v>1.0</v>
      </c>
      <c r="AG55" s="10" t="s">
        <v>88</v>
      </c>
      <c r="AH55" s="13">
        <v>1.0</v>
      </c>
      <c r="AI55" s="10" t="s">
        <v>88</v>
      </c>
      <c r="AJ55" s="13">
        <v>1.0</v>
      </c>
      <c r="AK55" s="10" t="s">
        <v>88</v>
      </c>
      <c r="AL55" s="14">
        <v>1.0</v>
      </c>
      <c r="AM55" s="10" t="s">
        <v>88</v>
      </c>
      <c r="AN55" s="14">
        <v>1.0</v>
      </c>
      <c r="AO55" s="15"/>
    </row>
    <row r="56">
      <c r="A56" s="23" t="s">
        <v>271</v>
      </c>
      <c r="B56" s="5" t="s">
        <v>189</v>
      </c>
      <c r="C56" s="5" t="s">
        <v>272</v>
      </c>
      <c r="D56" s="33" t="s">
        <v>273</v>
      </c>
      <c r="E56" s="24" t="s">
        <v>74</v>
      </c>
      <c r="F56" s="5" t="s">
        <v>45</v>
      </c>
      <c r="G56" s="5" t="s">
        <v>46</v>
      </c>
      <c r="H56" s="5" t="s">
        <v>46</v>
      </c>
      <c r="I56" s="5" t="s">
        <v>46</v>
      </c>
      <c r="J56" s="5" t="s">
        <v>46</v>
      </c>
      <c r="K56" s="5" t="s">
        <v>46</v>
      </c>
      <c r="L56" s="5" t="s">
        <v>46</v>
      </c>
      <c r="M56" s="4" t="s">
        <v>274</v>
      </c>
      <c r="N56" s="4" t="s">
        <v>77</v>
      </c>
      <c r="O56" s="4"/>
      <c r="P56" s="4">
        <v>0.0</v>
      </c>
      <c r="Q56" s="4" t="s">
        <v>49</v>
      </c>
      <c r="R56" s="16">
        <v>0.0</v>
      </c>
      <c r="S56" s="4" t="s">
        <v>49</v>
      </c>
      <c r="T56" s="16">
        <v>0.0</v>
      </c>
      <c r="U56" s="4" t="s">
        <v>211</v>
      </c>
      <c r="V56" s="16">
        <v>0.0</v>
      </c>
      <c r="W56" s="4" t="s">
        <v>211</v>
      </c>
      <c r="X56" s="16">
        <v>0.0</v>
      </c>
      <c r="Y56" s="4" t="s">
        <v>211</v>
      </c>
      <c r="Z56" s="16">
        <v>0.0</v>
      </c>
      <c r="AA56" s="4" t="s">
        <v>53</v>
      </c>
      <c r="AB56" s="7">
        <v>1.0</v>
      </c>
      <c r="AC56" s="4" t="s">
        <v>53</v>
      </c>
      <c r="AD56" s="7">
        <v>1.0</v>
      </c>
      <c r="AE56" s="4" t="s">
        <v>53</v>
      </c>
      <c r="AF56" s="7">
        <v>1.0</v>
      </c>
      <c r="AG56" s="4" t="s">
        <v>53</v>
      </c>
      <c r="AH56" s="7">
        <v>1.0</v>
      </c>
      <c r="AI56" s="4" t="s">
        <v>53</v>
      </c>
      <c r="AJ56" s="7">
        <v>1.0</v>
      </c>
      <c r="AK56" s="4" t="s">
        <v>53</v>
      </c>
      <c r="AL56" s="8">
        <v>1.0</v>
      </c>
      <c r="AM56" s="4" t="s">
        <v>53</v>
      </c>
      <c r="AN56" s="8">
        <v>1.0</v>
      </c>
      <c r="AO56" s="9"/>
    </row>
    <row r="57">
      <c r="A57" s="20" t="s">
        <v>275</v>
      </c>
      <c r="B57" s="11" t="s">
        <v>189</v>
      </c>
      <c r="C57" s="11" t="s">
        <v>272</v>
      </c>
      <c r="D57" s="31" t="s">
        <v>276</v>
      </c>
      <c r="E57" s="21" t="s">
        <v>74</v>
      </c>
      <c r="F57" s="11" t="s">
        <v>45</v>
      </c>
      <c r="G57" s="11" t="s">
        <v>46</v>
      </c>
      <c r="H57" s="11" t="s">
        <v>46</v>
      </c>
      <c r="I57" s="11" t="s">
        <v>46</v>
      </c>
      <c r="J57" s="11" t="s">
        <v>46</v>
      </c>
      <c r="K57" s="11" t="s">
        <v>46</v>
      </c>
      <c r="L57" s="11" t="s">
        <v>46</v>
      </c>
      <c r="M57" s="17" t="s">
        <v>277</v>
      </c>
      <c r="N57" s="10" t="s">
        <v>77</v>
      </c>
      <c r="O57" s="10"/>
      <c r="P57" s="10">
        <v>0.0</v>
      </c>
      <c r="Q57" s="10" t="s">
        <v>49</v>
      </c>
      <c r="R57" s="13">
        <v>0.0</v>
      </c>
      <c r="S57" s="10" t="s">
        <v>49</v>
      </c>
      <c r="T57" s="13">
        <v>0.0</v>
      </c>
      <c r="U57" s="10" t="s">
        <v>49</v>
      </c>
      <c r="V57" s="13">
        <v>0.0</v>
      </c>
      <c r="W57" s="10" t="s">
        <v>211</v>
      </c>
      <c r="X57" s="13">
        <v>0.0</v>
      </c>
      <c r="Y57" s="10" t="s">
        <v>49</v>
      </c>
      <c r="Z57" s="13">
        <v>0.0</v>
      </c>
      <c r="AA57" s="10" t="s">
        <v>53</v>
      </c>
      <c r="AB57" s="18">
        <v>1.0</v>
      </c>
      <c r="AC57" s="10" t="s">
        <v>53</v>
      </c>
      <c r="AD57" s="18">
        <v>1.0</v>
      </c>
      <c r="AE57" s="10" t="s">
        <v>53</v>
      </c>
      <c r="AF57" s="18">
        <v>1.0</v>
      </c>
      <c r="AG57" s="10" t="s">
        <v>53</v>
      </c>
      <c r="AH57" s="18">
        <v>1.0</v>
      </c>
      <c r="AI57" s="10" t="s">
        <v>53</v>
      </c>
      <c r="AJ57" s="18">
        <v>1.0</v>
      </c>
      <c r="AK57" s="10" t="s">
        <v>53</v>
      </c>
      <c r="AL57" s="14">
        <v>1.0</v>
      </c>
      <c r="AM57" s="10" t="s">
        <v>53</v>
      </c>
      <c r="AN57" s="14">
        <v>1.0</v>
      </c>
      <c r="AO57" s="15"/>
    </row>
    <row r="58">
      <c r="A58" s="23" t="s">
        <v>278</v>
      </c>
      <c r="B58" s="5" t="s">
        <v>189</v>
      </c>
      <c r="C58" s="5" t="s">
        <v>272</v>
      </c>
      <c r="D58" s="33" t="s">
        <v>123</v>
      </c>
      <c r="E58" s="24" t="s">
        <v>74</v>
      </c>
      <c r="F58" s="5" t="s">
        <v>45</v>
      </c>
      <c r="G58" s="5" t="s">
        <v>46</v>
      </c>
      <c r="H58" s="5" t="s">
        <v>46</v>
      </c>
      <c r="I58" s="5" t="s">
        <v>46</v>
      </c>
      <c r="J58" s="5" t="s">
        <v>46</v>
      </c>
      <c r="K58" s="5" t="s">
        <v>46</v>
      </c>
      <c r="L58" s="5" t="s">
        <v>46</v>
      </c>
      <c r="M58" s="4" t="s">
        <v>279</v>
      </c>
      <c r="N58" s="4" t="s">
        <v>77</v>
      </c>
      <c r="O58" s="4"/>
      <c r="P58" s="4">
        <v>0.0</v>
      </c>
      <c r="Q58" s="4" t="s">
        <v>49</v>
      </c>
      <c r="R58" s="16">
        <v>0.0</v>
      </c>
      <c r="S58" s="4" t="s">
        <v>49</v>
      </c>
      <c r="T58" s="16">
        <v>0.0</v>
      </c>
      <c r="U58" s="4" t="s">
        <v>52</v>
      </c>
      <c r="V58" s="16">
        <v>0.0</v>
      </c>
      <c r="W58" s="4" t="s">
        <v>52</v>
      </c>
      <c r="X58" s="16">
        <v>0.0</v>
      </c>
      <c r="Y58" s="4" t="s">
        <v>52</v>
      </c>
      <c r="Z58" s="16">
        <v>0.0</v>
      </c>
      <c r="AA58" s="4" t="s">
        <v>53</v>
      </c>
      <c r="AB58" s="7">
        <v>1.0</v>
      </c>
      <c r="AC58" s="4" t="s">
        <v>53</v>
      </c>
      <c r="AD58" s="7">
        <v>1.0</v>
      </c>
      <c r="AE58" s="4" t="s">
        <v>53</v>
      </c>
      <c r="AF58" s="7">
        <v>1.0</v>
      </c>
      <c r="AG58" s="4" t="s">
        <v>53</v>
      </c>
      <c r="AH58" s="7">
        <v>1.0</v>
      </c>
      <c r="AI58" s="4" t="s">
        <v>53</v>
      </c>
      <c r="AJ58" s="7">
        <v>1.0</v>
      </c>
      <c r="AK58" s="4" t="s">
        <v>53</v>
      </c>
      <c r="AL58" s="8">
        <v>1.0</v>
      </c>
      <c r="AM58" s="4" t="s">
        <v>53</v>
      </c>
      <c r="AN58" s="8">
        <v>1.0</v>
      </c>
      <c r="AO58" s="9"/>
    </row>
    <row r="59">
      <c r="A59" s="20" t="s">
        <v>280</v>
      </c>
      <c r="B59" s="11" t="s">
        <v>189</v>
      </c>
      <c r="C59" s="11" t="s">
        <v>272</v>
      </c>
      <c r="D59" s="31" t="s">
        <v>276</v>
      </c>
      <c r="E59" s="21" t="s">
        <v>74</v>
      </c>
      <c r="F59" s="11" t="s">
        <v>45</v>
      </c>
      <c r="G59" s="11" t="s">
        <v>46</v>
      </c>
      <c r="H59" s="11" t="s">
        <v>46</v>
      </c>
      <c r="I59" s="11" t="s">
        <v>46</v>
      </c>
      <c r="J59" s="11" t="s">
        <v>46</v>
      </c>
      <c r="K59" s="11" t="s">
        <v>46</v>
      </c>
      <c r="L59" s="11" t="s">
        <v>46</v>
      </c>
      <c r="M59" s="10" t="s">
        <v>281</v>
      </c>
      <c r="N59" s="10" t="s">
        <v>77</v>
      </c>
      <c r="O59" s="10"/>
      <c r="P59" s="10">
        <v>0.0</v>
      </c>
      <c r="Q59" s="10" t="s">
        <v>49</v>
      </c>
      <c r="R59" s="13">
        <v>0.0</v>
      </c>
      <c r="S59" s="10" t="s">
        <v>49</v>
      </c>
      <c r="T59" s="13">
        <v>0.0</v>
      </c>
      <c r="U59" s="10" t="s">
        <v>49</v>
      </c>
      <c r="V59" s="13">
        <v>0.0</v>
      </c>
      <c r="W59" s="10" t="s">
        <v>52</v>
      </c>
      <c r="X59" s="13">
        <v>0.0</v>
      </c>
      <c r="Y59" s="10" t="s">
        <v>53</v>
      </c>
      <c r="Z59" s="18">
        <v>1.0</v>
      </c>
      <c r="AA59" s="10" t="s">
        <v>53</v>
      </c>
      <c r="AB59" s="18">
        <v>1.0</v>
      </c>
      <c r="AC59" s="10" t="s">
        <v>53</v>
      </c>
      <c r="AD59" s="18">
        <v>1.0</v>
      </c>
      <c r="AE59" s="10" t="s">
        <v>53</v>
      </c>
      <c r="AF59" s="18">
        <v>1.0</v>
      </c>
      <c r="AG59" s="10" t="s">
        <v>53</v>
      </c>
      <c r="AH59" s="18">
        <v>1.0</v>
      </c>
      <c r="AI59" s="10" t="s">
        <v>53</v>
      </c>
      <c r="AJ59" s="18">
        <v>1.0</v>
      </c>
      <c r="AK59" s="10" t="s">
        <v>53</v>
      </c>
      <c r="AL59" s="14">
        <v>1.0</v>
      </c>
      <c r="AM59" s="10" t="s">
        <v>53</v>
      </c>
      <c r="AN59" s="14">
        <v>1.0</v>
      </c>
      <c r="AO59" s="15"/>
    </row>
    <row r="60">
      <c r="A60" s="23" t="s">
        <v>282</v>
      </c>
      <c r="B60" s="5" t="s">
        <v>189</v>
      </c>
      <c r="C60" s="5" t="s">
        <v>272</v>
      </c>
      <c r="D60" s="33" t="s">
        <v>123</v>
      </c>
      <c r="E60" s="24" t="s">
        <v>74</v>
      </c>
      <c r="F60" s="5" t="s">
        <v>45</v>
      </c>
      <c r="G60" s="5" t="s">
        <v>46</v>
      </c>
      <c r="H60" s="5" t="s">
        <v>46</v>
      </c>
      <c r="I60" s="5" t="s">
        <v>46</v>
      </c>
      <c r="J60" s="5" t="s">
        <v>46</v>
      </c>
      <c r="K60" s="5" t="s">
        <v>46</v>
      </c>
      <c r="L60" s="5" t="s">
        <v>46</v>
      </c>
      <c r="M60" s="4" t="s">
        <v>283</v>
      </c>
      <c r="N60" s="4" t="s">
        <v>77</v>
      </c>
      <c r="O60" s="4"/>
      <c r="P60" s="4">
        <v>0.0</v>
      </c>
      <c r="Q60" s="4" t="s">
        <v>49</v>
      </c>
      <c r="R60" s="16">
        <v>0.0</v>
      </c>
      <c r="S60" s="4" t="s">
        <v>49</v>
      </c>
      <c r="T60" s="16">
        <v>0.0</v>
      </c>
      <c r="U60" s="4" t="s">
        <v>49</v>
      </c>
      <c r="V60" s="16">
        <v>0.0</v>
      </c>
      <c r="W60" s="4" t="s">
        <v>52</v>
      </c>
      <c r="X60" s="16">
        <v>0.0</v>
      </c>
      <c r="Y60" s="4" t="s">
        <v>52</v>
      </c>
      <c r="Z60" s="16">
        <v>0.0</v>
      </c>
      <c r="AA60" s="4" t="s">
        <v>53</v>
      </c>
      <c r="AB60" s="7">
        <v>1.0</v>
      </c>
      <c r="AC60" s="4" t="s">
        <v>53</v>
      </c>
      <c r="AD60" s="7">
        <v>1.0</v>
      </c>
      <c r="AE60" s="4" t="s">
        <v>53</v>
      </c>
      <c r="AF60" s="7">
        <v>1.0</v>
      </c>
      <c r="AG60" s="4" t="s">
        <v>53</v>
      </c>
      <c r="AH60" s="7">
        <v>1.0</v>
      </c>
      <c r="AI60" s="4" t="s">
        <v>53</v>
      </c>
      <c r="AJ60" s="7">
        <v>1.0</v>
      </c>
      <c r="AK60" s="4" t="s">
        <v>53</v>
      </c>
      <c r="AL60" s="8">
        <v>1.0</v>
      </c>
      <c r="AM60" s="4" t="s">
        <v>53</v>
      </c>
      <c r="AN60" s="8">
        <v>1.0</v>
      </c>
      <c r="AO60" s="9"/>
    </row>
    <row r="61">
      <c r="A61" s="20" t="s">
        <v>284</v>
      </c>
      <c r="B61" s="11" t="s">
        <v>189</v>
      </c>
      <c r="C61" s="11" t="s">
        <v>272</v>
      </c>
      <c r="D61" s="31" t="s">
        <v>273</v>
      </c>
      <c r="E61" s="21" t="s">
        <v>74</v>
      </c>
      <c r="F61" s="11" t="s">
        <v>45</v>
      </c>
      <c r="G61" s="11" t="s">
        <v>46</v>
      </c>
      <c r="H61" s="11" t="s">
        <v>46</v>
      </c>
      <c r="I61" s="11" t="s">
        <v>46</v>
      </c>
      <c r="J61" s="11" t="s">
        <v>46</v>
      </c>
      <c r="K61" s="11" t="s">
        <v>46</v>
      </c>
      <c r="L61" s="11" t="s">
        <v>46</v>
      </c>
      <c r="M61" s="10" t="s">
        <v>285</v>
      </c>
      <c r="N61" s="10" t="s">
        <v>77</v>
      </c>
      <c r="O61" s="10"/>
      <c r="P61" s="10">
        <v>0.0</v>
      </c>
      <c r="Q61" s="10" t="s">
        <v>49</v>
      </c>
      <c r="R61" s="13">
        <v>0.0</v>
      </c>
      <c r="S61" s="10" t="s">
        <v>49</v>
      </c>
      <c r="T61" s="13">
        <v>0.0</v>
      </c>
      <c r="U61" s="10" t="s">
        <v>211</v>
      </c>
      <c r="V61" s="13">
        <v>0.0</v>
      </c>
      <c r="W61" s="10" t="s">
        <v>211</v>
      </c>
      <c r="X61" s="13">
        <v>0.0</v>
      </c>
      <c r="Y61" s="10" t="s">
        <v>52</v>
      </c>
      <c r="Z61" s="13">
        <v>0.0</v>
      </c>
      <c r="AA61" s="10" t="s">
        <v>53</v>
      </c>
      <c r="AB61" s="18">
        <v>1.0</v>
      </c>
      <c r="AC61" s="10" t="s">
        <v>53</v>
      </c>
      <c r="AD61" s="18">
        <v>1.0</v>
      </c>
      <c r="AE61" s="10" t="s">
        <v>53</v>
      </c>
      <c r="AF61" s="18">
        <v>1.0</v>
      </c>
      <c r="AG61" s="10" t="s">
        <v>53</v>
      </c>
      <c r="AH61" s="18">
        <v>1.0</v>
      </c>
      <c r="AI61" s="10" t="s">
        <v>53</v>
      </c>
      <c r="AJ61" s="18">
        <v>1.0</v>
      </c>
      <c r="AK61" s="10" t="s">
        <v>53</v>
      </c>
      <c r="AL61" s="14">
        <v>1.0</v>
      </c>
      <c r="AM61" s="10" t="s">
        <v>53</v>
      </c>
      <c r="AN61" s="14">
        <v>1.0</v>
      </c>
      <c r="AO61" s="15"/>
    </row>
    <row r="62">
      <c r="A62" s="23" t="s">
        <v>286</v>
      </c>
      <c r="B62" s="5" t="s">
        <v>189</v>
      </c>
      <c r="C62" s="5" t="s">
        <v>272</v>
      </c>
      <c r="D62" s="33" t="s">
        <v>273</v>
      </c>
      <c r="E62" s="24" t="s">
        <v>74</v>
      </c>
      <c r="F62" s="5" t="s">
        <v>45</v>
      </c>
      <c r="G62" s="5" t="s">
        <v>46</v>
      </c>
      <c r="H62" s="5" t="s">
        <v>46</v>
      </c>
      <c r="I62" s="5" t="s">
        <v>46</v>
      </c>
      <c r="J62" s="5" t="s">
        <v>46</v>
      </c>
      <c r="K62" s="5" t="s">
        <v>46</v>
      </c>
      <c r="L62" s="5" t="s">
        <v>46</v>
      </c>
      <c r="M62" s="4" t="s">
        <v>287</v>
      </c>
      <c r="N62" s="4" t="s">
        <v>77</v>
      </c>
      <c r="O62" s="4"/>
      <c r="P62" s="4">
        <v>0.0</v>
      </c>
      <c r="Q62" s="4" t="s">
        <v>49</v>
      </c>
      <c r="R62" s="16">
        <v>0.0</v>
      </c>
      <c r="S62" s="4" t="s">
        <v>49</v>
      </c>
      <c r="T62" s="16">
        <v>0.0</v>
      </c>
      <c r="U62" s="4" t="s">
        <v>49</v>
      </c>
      <c r="V62" s="16">
        <v>0.0</v>
      </c>
      <c r="W62" s="4" t="s">
        <v>211</v>
      </c>
      <c r="X62" s="16">
        <v>0.0</v>
      </c>
      <c r="Y62" s="4" t="s">
        <v>52</v>
      </c>
      <c r="Z62" s="16">
        <v>0.0</v>
      </c>
      <c r="AA62" s="4" t="s">
        <v>53</v>
      </c>
      <c r="AB62" s="7">
        <v>1.0</v>
      </c>
      <c r="AC62" s="4" t="s">
        <v>53</v>
      </c>
      <c r="AD62" s="7">
        <v>1.0</v>
      </c>
      <c r="AE62" s="4" t="s">
        <v>53</v>
      </c>
      <c r="AF62" s="7">
        <v>1.0</v>
      </c>
      <c r="AG62" s="4" t="s">
        <v>53</v>
      </c>
      <c r="AH62" s="7">
        <v>1.0</v>
      </c>
      <c r="AI62" s="4" t="s">
        <v>53</v>
      </c>
      <c r="AJ62" s="7">
        <v>1.0</v>
      </c>
      <c r="AK62" s="4" t="s">
        <v>53</v>
      </c>
      <c r="AL62" s="8">
        <v>1.0</v>
      </c>
      <c r="AM62" s="4" t="s">
        <v>53</v>
      </c>
      <c r="AN62" s="8">
        <v>1.0</v>
      </c>
      <c r="AO62" s="9"/>
    </row>
    <row r="63">
      <c r="A63" s="20" t="s">
        <v>288</v>
      </c>
      <c r="B63" s="11" t="s">
        <v>189</v>
      </c>
      <c r="C63" s="11" t="s">
        <v>272</v>
      </c>
      <c r="D63" s="31" t="s">
        <v>273</v>
      </c>
      <c r="E63" s="21" t="s">
        <v>74</v>
      </c>
      <c r="F63" s="11" t="s">
        <v>45</v>
      </c>
      <c r="G63" s="11" t="s">
        <v>46</v>
      </c>
      <c r="H63" s="11" t="s">
        <v>46</v>
      </c>
      <c r="I63" s="11" t="s">
        <v>46</v>
      </c>
      <c r="J63" s="11" t="s">
        <v>46</v>
      </c>
      <c r="K63" s="11" t="s">
        <v>46</v>
      </c>
      <c r="L63" s="11" t="s">
        <v>46</v>
      </c>
      <c r="M63" s="10" t="s">
        <v>289</v>
      </c>
      <c r="N63" s="10" t="s">
        <v>48</v>
      </c>
      <c r="O63" s="10"/>
      <c r="P63" s="10">
        <v>0.0</v>
      </c>
      <c r="Q63" s="10" t="s">
        <v>49</v>
      </c>
      <c r="R63" s="13">
        <v>0.0</v>
      </c>
      <c r="S63" s="10" t="s">
        <v>49</v>
      </c>
      <c r="T63" s="13">
        <v>0.0</v>
      </c>
      <c r="U63" s="10" t="s">
        <v>49</v>
      </c>
      <c r="V63" s="13">
        <v>0.0</v>
      </c>
      <c r="W63" s="10" t="s">
        <v>52</v>
      </c>
      <c r="X63" s="13">
        <v>0.0</v>
      </c>
      <c r="Y63" s="10" t="s">
        <v>52</v>
      </c>
      <c r="Z63" s="13">
        <v>0.0</v>
      </c>
      <c r="AA63" s="10" t="s">
        <v>53</v>
      </c>
      <c r="AB63" s="18">
        <v>1.0</v>
      </c>
      <c r="AC63" s="10" t="s">
        <v>53</v>
      </c>
      <c r="AD63" s="18">
        <v>1.0</v>
      </c>
      <c r="AE63" s="10" t="s">
        <v>53</v>
      </c>
      <c r="AF63" s="18">
        <v>1.0</v>
      </c>
      <c r="AG63" s="10" t="s">
        <v>53</v>
      </c>
      <c r="AH63" s="18">
        <v>1.0</v>
      </c>
      <c r="AI63" s="10" t="s">
        <v>53</v>
      </c>
      <c r="AJ63" s="18">
        <v>1.0</v>
      </c>
      <c r="AK63" s="10" t="s">
        <v>53</v>
      </c>
      <c r="AL63" s="14">
        <v>1.0</v>
      </c>
      <c r="AM63" s="10" t="s">
        <v>53</v>
      </c>
      <c r="AN63" s="14">
        <v>1.0</v>
      </c>
      <c r="AO63" s="15"/>
    </row>
    <row r="64">
      <c r="A64" s="23" t="s">
        <v>290</v>
      </c>
      <c r="B64" s="5" t="s">
        <v>189</v>
      </c>
      <c r="C64" s="5" t="s">
        <v>272</v>
      </c>
      <c r="D64" s="33" t="s">
        <v>276</v>
      </c>
      <c r="E64" s="24" t="s">
        <v>74</v>
      </c>
      <c r="F64" s="5" t="s">
        <v>45</v>
      </c>
      <c r="G64" s="5" t="s">
        <v>46</v>
      </c>
      <c r="H64" s="5" t="s">
        <v>46</v>
      </c>
      <c r="I64" s="5" t="s">
        <v>46</v>
      </c>
      <c r="J64" s="5" t="s">
        <v>46</v>
      </c>
      <c r="K64" s="5" t="s">
        <v>46</v>
      </c>
      <c r="L64" s="5" t="s">
        <v>46</v>
      </c>
      <c r="M64" s="5" t="s">
        <v>46</v>
      </c>
      <c r="N64" s="4" t="s">
        <v>77</v>
      </c>
      <c r="O64" s="4"/>
      <c r="P64" s="4">
        <v>0.0</v>
      </c>
      <c r="Q64" s="4" t="s">
        <v>49</v>
      </c>
      <c r="R64" s="16">
        <v>0.0</v>
      </c>
      <c r="S64" s="4" t="s">
        <v>49</v>
      </c>
      <c r="T64" s="16">
        <v>0.0</v>
      </c>
      <c r="U64" s="4" t="s">
        <v>211</v>
      </c>
      <c r="V64" s="16">
        <v>0.0</v>
      </c>
      <c r="W64" s="4" t="s">
        <v>52</v>
      </c>
      <c r="X64" s="16">
        <v>0.0</v>
      </c>
      <c r="Y64" s="4" t="s">
        <v>52</v>
      </c>
      <c r="Z64" s="16">
        <v>0.0</v>
      </c>
      <c r="AA64" s="4" t="s">
        <v>53</v>
      </c>
      <c r="AB64" s="7">
        <v>1.0</v>
      </c>
      <c r="AC64" s="4" t="s">
        <v>53</v>
      </c>
      <c r="AD64" s="7">
        <v>1.0</v>
      </c>
      <c r="AE64" s="4" t="s">
        <v>53</v>
      </c>
      <c r="AF64" s="7">
        <v>1.0</v>
      </c>
      <c r="AG64" s="4" t="s">
        <v>53</v>
      </c>
      <c r="AH64" s="7">
        <v>1.0</v>
      </c>
      <c r="AI64" s="4" t="s">
        <v>53</v>
      </c>
      <c r="AJ64" s="7">
        <v>1.0</v>
      </c>
      <c r="AK64" s="4" t="s">
        <v>53</v>
      </c>
      <c r="AL64" s="8">
        <v>1.0</v>
      </c>
      <c r="AM64" s="4" t="s">
        <v>53</v>
      </c>
      <c r="AN64" s="8">
        <v>1.0</v>
      </c>
      <c r="AO64" s="9"/>
    </row>
    <row r="65">
      <c r="A65" s="20" t="s">
        <v>291</v>
      </c>
      <c r="B65" s="11" t="s">
        <v>189</v>
      </c>
      <c r="C65" s="11" t="s">
        <v>272</v>
      </c>
      <c r="D65" s="22" t="s">
        <v>292</v>
      </c>
      <c r="E65" s="22" t="s">
        <v>293</v>
      </c>
      <c r="F65" s="11" t="s">
        <v>71</v>
      </c>
      <c r="G65" s="11" t="s">
        <v>294</v>
      </c>
      <c r="H65" s="11"/>
      <c r="I65" s="11" t="s">
        <v>46</v>
      </c>
      <c r="J65" s="11" t="s">
        <v>46</v>
      </c>
      <c r="K65" s="11" t="s">
        <v>46</v>
      </c>
      <c r="L65" s="11" t="s">
        <v>46</v>
      </c>
      <c r="M65" s="10" t="s">
        <v>295</v>
      </c>
      <c r="N65" s="10" t="s">
        <v>77</v>
      </c>
      <c r="O65" s="10"/>
      <c r="P65" s="10">
        <v>0.0</v>
      </c>
      <c r="Q65" s="10" t="s">
        <v>49</v>
      </c>
      <c r="R65" s="13">
        <v>0.0</v>
      </c>
      <c r="S65" s="10" t="s">
        <v>49</v>
      </c>
      <c r="T65" s="13">
        <v>0.0</v>
      </c>
      <c r="U65" s="10" t="s">
        <v>50</v>
      </c>
      <c r="V65" s="13">
        <v>0.0</v>
      </c>
      <c r="W65" s="10" t="s">
        <v>52</v>
      </c>
      <c r="X65" s="13">
        <v>0.0</v>
      </c>
      <c r="Y65" s="10" t="s">
        <v>53</v>
      </c>
      <c r="Z65" s="18">
        <v>1.0</v>
      </c>
      <c r="AA65" s="10" t="s">
        <v>53</v>
      </c>
      <c r="AB65" s="18">
        <v>1.0</v>
      </c>
      <c r="AC65" s="10" t="s">
        <v>53</v>
      </c>
      <c r="AD65" s="18">
        <v>1.0</v>
      </c>
      <c r="AE65" s="10" t="s">
        <v>53</v>
      </c>
      <c r="AF65" s="18">
        <v>1.0</v>
      </c>
      <c r="AG65" s="10" t="s">
        <v>53</v>
      </c>
      <c r="AH65" s="18">
        <v>1.0</v>
      </c>
      <c r="AI65" s="10" t="s">
        <v>53</v>
      </c>
      <c r="AJ65" s="18">
        <v>1.0</v>
      </c>
      <c r="AK65" s="10" t="s">
        <v>53</v>
      </c>
      <c r="AL65" s="14">
        <v>1.0</v>
      </c>
      <c r="AM65" s="10" t="s">
        <v>53</v>
      </c>
      <c r="AN65" s="14">
        <v>1.0</v>
      </c>
      <c r="AO65" s="15"/>
    </row>
    <row r="66">
      <c r="A66" s="23" t="s">
        <v>296</v>
      </c>
      <c r="B66" s="5" t="s">
        <v>189</v>
      </c>
      <c r="C66" s="5" t="s">
        <v>272</v>
      </c>
      <c r="D66" s="33" t="s">
        <v>273</v>
      </c>
      <c r="E66" s="24" t="s">
        <v>74</v>
      </c>
      <c r="F66" s="5" t="s">
        <v>45</v>
      </c>
      <c r="G66" s="5" t="s">
        <v>46</v>
      </c>
      <c r="H66" s="5" t="s">
        <v>46</v>
      </c>
      <c r="I66" s="5" t="s">
        <v>46</v>
      </c>
      <c r="J66" s="5" t="s">
        <v>46</v>
      </c>
      <c r="K66" s="5" t="s">
        <v>46</v>
      </c>
      <c r="L66" s="5" t="s">
        <v>46</v>
      </c>
      <c r="M66" s="4" t="s">
        <v>297</v>
      </c>
      <c r="N66" s="4" t="s">
        <v>235</v>
      </c>
      <c r="O66" s="4"/>
      <c r="P66" s="4">
        <v>0.0</v>
      </c>
      <c r="Q66" s="4" t="s">
        <v>49</v>
      </c>
      <c r="R66" s="16">
        <v>0.0</v>
      </c>
      <c r="S66" s="4" t="s">
        <v>49</v>
      </c>
      <c r="T66" s="16">
        <v>0.0</v>
      </c>
      <c r="U66" s="4" t="s">
        <v>211</v>
      </c>
      <c r="V66" s="16">
        <v>0.0</v>
      </c>
      <c r="W66" s="4" t="s">
        <v>211</v>
      </c>
      <c r="X66" s="16">
        <v>0.0</v>
      </c>
      <c r="Y66" s="4" t="s">
        <v>52</v>
      </c>
      <c r="Z66" s="16">
        <v>0.0</v>
      </c>
      <c r="AA66" s="4" t="s">
        <v>53</v>
      </c>
      <c r="AB66" s="7">
        <v>1.0</v>
      </c>
      <c r="AC66" s="4" t="s">
        <v>53</v>
      </c>
      <c r="AD66" s="7">
        <v>1.0</v>
      </c>
      <c r="AE66" s="4" t="s">
        <v>53</v>
      </c>
      <c r="AF66" s="7">
        <v>1.0</v>
      </c>
      <c r="AG66" s="4" t="s">
        <v>53</v>
      </c>
      <c r="AH66" s="7">
        <v>1.0</v>
      </c>
      <c r="AI66" s="4" t="s">
        <v>53</v>
      </c>
      <c r="AJ66" s="7">
        <v>1.0</v>
      </c>
      <c r="AK66" s="4" t="s">
        <v>53</v>
      </c>
      <c r="AL66" s="8">
        <v>1.0</v>
      </c>
      <c r="AM66" s="4" t="s">
        <v>53</v>
      </c>
      <c r="AN66" s="8">
        <v>1.0</v>
      </c>
      <c r="AO66" s="9"/>
    </row>
    <row r="67">
      <c r="A67" s="20" t="s">
        <v>298</v>
      </c>
      <c r="B67" s="11" t="s">
        <v>189</v>
      </c>
      <c r="C67" s="11" t="s">
        <v>272</v>
      </c>
      <c r="D67" s="31" t="s">
        <v>273</v>
      </c>
      <c r="E67" s="21" t="s">
        <v>74</v>
      </c>
      <c r="F67" s="11" t="s">
        <v>45</v>
      </c>
      <c r="G67" s="11" t="s">
        <v>46</v>
      </c>
      <c r="H67" s="11" t="s">
        <v>46</v>
      </c>
      <c r="I67" s="11" t="s">
        <v>46</v>
      </c>
      <c r="J67" s="11" t="s">
        <v>46</v>
      </c>
      <c r="K67" s="11" t="s">
        <v>46</v>
      </c>
      <c r="L67" s="11" t="s">
        <v>46</v>
      </c>
      <c r="M67" s="11" t="s">
        <v>46</v>
      </c>
      <c r="N67" s="10" t="s">
        <v>235</v>
      </c>
      <c r="O67" s="10"/>
      <c r="P67" s="10">
        <v>0.0</v>
      </c>
      <c r="Q67" s="10" t="s">
        <v>49</v>
      </c>
      <c r="R67" s="13">
        <v>0.0</v>
      </c>
      <c r="S67" s="10" t="s">
        <v>49</v>
      </c>
      <c r="T67" s="13">
        <v>0.0</v>
      </c>
      <c r="U67" s="10" t="s">
        <v>49</v>
      </c>
      <c r="V67" s="13">
        <v>0.0</v>
      </c>
      <c r="W67" s="10" t="s">
        <v>49</v>
      </c>
      <c r="X67" s="13">
        <v>0.0</v>
      </c>
      <c r="Y67" s="10" t="s">
        <v>50</v>
      </c>
      <c r="Z67" s="13">
        <v>0.0</v>
      </c>
      <c r="AA67" s="10" t="s">
        <v>53</v>
      </c>
      <c r="AB67" s="18">
        <v>1.0</v>
      </c>
      <c r="AC67" s="10" t="s">
        <v>53</v>
      </c>
      <c r="AD67" s="18">
        <v>1.0</v>
      </c>
      <c r="AE67" s="10" t="s">
        <v>53</v>
      </c>
      <c r="AF67" s="18">
        <v>1.0</v>
      </c>
      <c r="AG67" s="10" t="s">
        <v>53</v>
      </c>
      <c r="AH67" s="18">
        <v>1.0</v>
      </c>
      <c r="AI67" s="10" t="s">
        <v>53</v>
      </c>
      <c r="AJ67" s="18">
        <v>1.0</v>
      </c>
      <c r="AK67" s="10" t="s">
        <v>53</v>
      </c>
      <c r="AL67" s="14">
        <v>1.0</v>
      </c>
      <c r="AM67" s="10" t="s">
        <v>53</v>
      </c>
      <c r="AN67" s="14">
        <v>1.0</v>
      </c>
      <c r="AO67" s="15"/>
    </row>
    <row r="68">
      <c r="A68" s="23" t="s">
        <v>299</v>
      </c>
      <c r="B68" s="5" t="s">
        <v>189</v>
      </c>
      <c r="C68" s="5" t="s">
        <v>272</v>
      </c>
      <c r="D68" s="33" t="s">
        <v>123</v>
      </c>
      <c r="E68" s="24" t="s">
        <v>74</v>
      </c>
      <c r="F68" s="5" t="s">
        <v>45</v>
      </c>
      <c r="G68" s="5" t="s">
        <v>46</v>
      </c>
      <c r="H68" s="5" t="s">
        <v>46</v>
      </c>
      <c r="I68" s="5" t="s">
        <v>46</v>
      </c>
      <c r="J68" s="5" t="s">
        <v>46</v>
      </c>
      <c r="K68" s="5" t="s">
        <v>46</v>
      </c>
      <c r="L68" s="5" t="s">
        <v>46</v>
      </c>
      <c r="M68" s="4" t="s">
        <v>300</v>
      </c>
      <c r="N68" s="4" t="s">
        <v>77</v>
      </c>
      <c r="O68" s="4"/>
      <c r="P68" s="4">
        <v>0.0</v>
      </c>
      <c r="Q68" s="4" t="s">
        <v>49</v>
      </c>
      <c r="R68" s="16">
        <v>0.0</v>
      </c>
      <c r="S68" s="4" t="s">
        <v>49</v>
      </c>
      <c r="T68" s="16">
        <v>0.0</v>
      </c>
      <c r="U68" s="4" t="s">
        <v>49</v>
      </c>
      <c r="V68" s="16">
        <v>0.0</v>
      </c>
      <c r="W68" s="4" t="s">
        <v>211</v>
      </c>
      <c r="X68" s="16">
        <v>0.0</v>
      </c>
      <c r="Y68" s="4" t="s">
        <v>211</v>
      </c>
      <c r="Z68" s="16">
        <v>0.0</v>
      </c>
      <c r="AA68" s="4" t="s">
        <v>53</v>
      </c>
      <c r="AB68" s="7">
        <v>1.0</v>
      </c>
      <c r="AC68" s="4" t="s">
        <v>53</v>
      </c>
      <c r="AD68" s="7">
        <v>1.0</v>
      </c>
      <c r="AE68" s="4" t="s">
        <v>53</v>
      </c>
      <c r="AF68" s="7">
        <v>1.0</v>
      </c>
      <c r="AG68" s="4" t="s">
        <v>53</v>
      </c>
      <c r="AH68" s="7">
        <v>1.0</v>
      </c>
      <c r="AI68" s="4" t="s">
        <v>53</v>
      </c>
      <c r="AJ68" s="7">
        <v>1.0</v>
      </c>
      <c r="AK68" s="4" t="s">
        <v>53</v>
      </c>
      <c r="AL68" s="8">
        <v>1.0</v>
      </c>
      <c r="AM68" s="4" t="s">
        <v>53</v>
      </c>
      <c r="AN68" s="8">
        <v>1.0</v>
      </c>
      <c r="AO68" s="9"/>
    </row>
    <row r="69">
      <c r="A69" s="20" t="s">
        <v>301</v>
      </c>
      <c r="B69" s="11" t="s">
        <v>189</v>
      </c>
      <c r="C69" s="11" t="s">
        <v>272</v>
      </c>
      <c r="D69" s="31" t="s">
        <v>276</v>
      </c>
      <c r="E69" s="21" t="s">
        <v>74</v>
      </c>
      <c r="F69" s="11" t="s">
        <v>45</v>
      </c>
      <c r="G69" s="11" t="s">
        <v>46</v>
      </c>
      <c r="H69" s="11" t="s">
        <v>46</v>
      </c>
      <c r="I69" s="11" t="s">
        <v>46</v>
      </c>
      <c r="J69" s="11" t="s">
        <v>46</v>
      </c>
      <c r="K69" s="11" t="s">
        <v>46</v>
      </c>
      <c r="L69" s="11" t="s">
        <v>46</v>
      </c>
      <c r="M69" s="11" t="s">
        <v>46</v>
      </c>
      <c r="N69" s="10" t="s">
        <v>48</v>
      </c>
      <c r="O69" s="10"/>
      <c r="P69" s="10">
        <v>0.0</v>
      </c>
      <c r="Q69" s="10" t="s">
        <v>49</v>
      </c>
      <c r="R69" s="13">
        <v>0.0</v>
      </c>
      <c r="S69" s="10" t="s">
        <v>49</v>
      </c>
      <c r="T69" s="13">
        <v>0.0</v>
      </c>
      <c r="U69" s="10" t="s">
        <v>49</v>
      </c>
      <c r="V69" s="13">
        <v>0.0</v>
      </c>
      <c r="W69" s="10" t="s">
        <v>211</v>
      </c>
      <c r="X69" s="13">
        <v>0.0</v>
      </c>
      <c r="Y69" s="10" t="s">
        <v>52</v>
      </c>
      <c r="Z69" s="13">
        <v>0.0</v>
      </c>
      <c r="AA69" s="10" t="s">
        <v>53</v>
      </c>
      <c r="AB69" s="18">
        <v>1.0</v>
      </c>
      <c r="AC69" s="10" t="s">
        <v>53</v>
      </c>
      <c r="AD69" s="18">
        <v>1.0</v>
      </c>
      <c r="AE69" s="10" t="s">
        <v>53</v>
      </c>
      <c r="AF69" s="18">
        <v>1.0</v>
      </c>
      <c r="AG69" s="10" t="s">
        <v>53</v>
      </c>
      <c r="AH69" s="18">
        <v>1.0</v>
      </c>
      <c r="AI69" s="10" t="s">
        <v>53</v>
      </c>
      <c r="AJ69" s="18">
        <v>1.0</v>
      </c>
      <c r="AK69" s="10" t="s">
        <v>53</v>
      </c>
      <c r="AL69" s="14">
        <v>1.0</v>
      </c>
      <c r="AM69" s="10" t="s">
        <v>53</v>
      </c>
      <c r="AN69" s="14">
        <v>1.0</v>
      </c>
      <c r="AO69" s="15"/>
    </row>
    <row r="70">
      <c r="A70" s="23" t="s">
        <v>302</v>
      </c>
      <c r="B70" s="5" t="s">
        <v>189</v>
      </c>
      <c r="C70" s="5" t="s">
        <v>272</v>
      </c>
      <c r="D70" s="25" t="s">
        <v>267</v>
      </c>
      <c r="E70" s="25" t="s">
        <v>303</v>
      </c>
      <c r="F70" s="5" t="s">
        <v>71</v>
      </c>
      <c r="G70" s="5" t="s">
        <v>304</v>
      </c>
      <c r="H70" s="5">
        <v>240.0</v>
      </c>
      <c r="I70" s="5" t="s">
        <v>207</v>
      </c>
      <c r="J70" s="5" t="s">
        <v>139</v>
      </c>
      <c r="K70" s="5" t="s">
        <v>305</v>
      </c>
      <c r="L70" s="5" t="s">
        <v>86</v>
      </c>
      <c r="M70" s="4" t="s">
        <v>306</v>
      </c>
      <c r="N70" s="4" t="s">
        <v>87</v>
      </c>
      <c r="O70" s="4"/>
      <c r="P70" s="4">
        <v>0.0</v>
      </c>
      <c r="Q70" s="4" t="s">
        <v>53</v>
      </c>
      <c r="R70" s="16">
        <v>1.0</v>
      </c>
      <c r="S70" s="4" t="s">
        <v>53</v>
      </c>
      <c r="T70" s="7">
        <v>1.0</v>
      </c>
      <c r="U70" s="4" t="s">
        <v>53</v>
      </c>
      <c r="V70" s="7">
        <v>1.0</v>
      </c>
      <c r="W70" s="4" t="s">
        <v>53</v>
      </c>
      <c r="X70" s="7">
        <v>1.0</v>
      </c>
      <c r="Y70" s="4" t="s">
        <v>53</v>
      </c>
      <c r="Z70" s="7">
        <v>1.0</v>
      </c>
      <c r="AA70" s="4" t="s">
        <v>53</v>
      </c>
      <c r="AB70" s="7">
        <v>1.0</v>
      </c>
      <c r="AC70" s="4" t="s">
        <v>53</v>
      </c>
      <c r="AD70" s="7">
        <v>1.0</v>
      </c>
      <c r="AE70" s="4" t="s">
        <v>53</v>
      </c>
      <c r="AF70" s="7">
        <v>1.0</v>
      </c>
      <c r="AG70" s="4" t="s">
        <v>53</v>
      </c>
      <c r="AH70" s="7">
        <v>1.0</v>
      </c>
      <c r="AI70" s="4" t="s">
        <v>53</v>
      </c>
      <c r="AJ70" s="7">
        <v>1.0</v>
      </c>
      <c r="AK70" s="4" t="s">
        <v>53</v>
      </c>
      <c r="AL70" s="8">
        <v>1.0</v>
      </c>
      <c r="AM70" s="4" t="s">
        <v>53</v>
      </c>
      <c r="AN70" s="8">
        <v>1.0</v>
      </c>
      <c r="AO70" s="9"/>
    </row>
    <row r="71">
      <c r="A71" s="20" t="s">
        <v>307</v>
      </c>
      <c r="B71" s="11" t="s">
        <v>189</v>
      </c>
      <c r="C71" s="11" t="s">
        <v>272</v>
      </c>
      <c r="D71" s="31" t="s">
        <v>308</v>
      </c>
      <c r="E71" s="21" t="s">
        <v>74</v>
      </c>
      <c r="F71" s="11" t="s">
        <v>71</v>
      </c>
      <c r="G71" s="11" t="s">
        <v>75</v>
      </c>
      <c r="H71" s="11">
        <v>250.0</v>
      </c>
      <c r="I71" s="11" t="s">
        <v>309</v>
      </c>
      <c r="J71" s="11" t="s">
        <v>195</v>
      </c>
      <c r="K71" s="11" t="s">
        <v>85</v>
      </c>
      <c r="L71" s="11" t="s">
        <v>258</v>
      </c>
      <c r="M71" s="10" t="s">
        <v>310</v>
      </c>
      <c r="N71" s="10" t="s">
        <v>67</v>
      </c>
      <c r="O71" s="10"/>
      <c r="P71" s="10">
        <v>0.0</v>
      </c>
      <c r="Q71" s="10" t="s">
        <v>53</v>
      </c>
      <c r="R71" s="18">
        <v>1.0</v>
      </c>
      <c r="S71" s="10" t="s">
        <v>53</v>
      </c>
      <c r="T71" s="18">
        <v>1.0</v>
      </c>
      <c r="U71" s="10" t="s">
        <v>53</v>
      </c>
      <c r="V71" s="18">
        <v>1.0</v>
      </c>
      <c r="W71" s="10" t="s">
        <v>53</v>
      </c>
      <c r="X71" s="18">
        <v>1.0</v>
      </c>
      <c r="Y71" s="10" t="s">
        <v>53</v>
      </c>
      <c r="Z71" s="18">
        <v>1.0</v>
      </c>
      <c r="AA71" s="10" t="s">
        <v>53</v>
      </c>
      <c r="AB71" s="18">
        <v>1.0</v>
      </c>
      <c r="AC71" s="10" t="s">
        <v>53</v>
      </c>
      <c r="AD71" s="18">
        <v>1.0</v>
      </c>
      <c r="AE71" s="10" t="s">
        <v>53</v>
      </c>
      <c r="AF71" s="18">
        <v>1.0</v>
      </c>
      <c r="AG71" s="10" t="s">
        <v>53</v>
      </c>
      <c r="AH71" s="18">
        <v>1.0</v>
      </c>
      <c r="AI71" s="10" t="s">
        <v>53</v>
      </c>
      <c r="AJ71" s="18">
        <v>1.0</v>
      </c>
      <c r="AK71" s="10" t="s">
        <v>53</v>
      </c>
      <c r="AL71" s="14">
        <v>1.0</v>
      </c>
      <c r="AM71" s="10" t="s">
        <v>53</v>
      </c>
      <c r="AN71" s="14">
        <v>1.0</v>
      </c>
      <c r="AO71" s="15"/>
    </row>
    <row r="72">
      <c r="A72" s="23" t="s">
        <v>311</v>
      </c>
      <c r="B72" s="5" t="s">
        <v>189</v>
      </c>
      <c r="C72" s="5" t="s">
        <v>272</v>
      </c>
      <c r="D72" s="33" t="s">
        <v>273</v>
      </c>
      <c r="E72" s="24" t="s">
        <v>74</v>
      </c>
      <c r="F72" s="5" t="s">
        <v>45</v>
      </c>
      <c r="G72" s="5" t="s">
        <v>46</v>
      </c>
      <c r="H72" s="5" t="s">
        <v>46</v>
      </c>
      <c r="I72" s="5" t="s">
        <v>46</v>
      </c>
      <c r="J72" s="5" t="s">
        <v>46</v>
      </c>
      <c r="K72" s="5" t="s">
        <v>46</v>
      </c>
      <c r="L72" s="5" t="s">
        <v>46</v>
      </c>
      <c r="M72" s="4" t="s">
        <v>312</v>
      </c>
      <c r="N72" s="4" t="s">
        <v>235</v>
      </c>
      <c r="O72" s="4" t="s">
        <v>57</v>
      </c>
      <c r="P72" s="4">
        <v>1.0</v>
      </c>
      <c r="Q72" s="4" t="s">
        <v>57</v>
      </c>
      <c r="R72" s="16">
        <v>1.0</v>
      </c>
      <c r="S72" s="4" t="s">
        <v>57</v>
      </c>
      <c r="T72" s="16">
        <v>1.0</v>
      </c>
      <c r="U72" s="4" t="s">
        <v>57</v>
      </c>
      <c r="V72" s="16">
        <v>1.0</v>
      </c>
      <c r="W72" s="4" t="s">
        <v>57</v>
      </c>
      <c r="X72" s="16">
        <v>1.0</v>
      </c>
      <c r="Y72" s="4" t="s">
        <v>57</v>
      </c>
      <c r="Z72" s="16">
        <v>1.0</v>
      </c>
      <c r="AA72" s="4" t="s">
        <v>57</v>
      </c>
      <c r="AB72" s="16">
        <v>1.0</v>
      </c>
      <c r="AC72" s="4" t="s">
        <v>57</v>
      </c>
      <c r="AD72" s="16">
        <v>1.0</v>
      </c>
      <c r="AE72" s="4" t="s">
        <v>57</v>
      </c>
      <c r="AF72" s="16">
        <v>1.0</v>
      </c>
      <c r="AG72" s="4" t="s">
        <v>57</v>
      </c>
      <c r="AH72" s="16">
        <v>1.0</v>
      </c>
      <c r="AI72" s="4" t="s">
        <v>57</v>
      </c>
      <c r="AJ72" s="16">
        <v>1.0</v>
      </c>
      <c r="AK72" s="4" t="s">
        <v>57</v>
      </c>
      <c r="AL72" s="8">
        <v>1.0</v>
      </c>
      <c r="AM72" s="4" t="s">
        <v>57</v>
      </c>
      <c r="AN72" s="8">
        <v>1.0</v>
      </c>
      <c r="AO72" s="9"/>
    </row>
    <row r="73">
      <c r="A73" s="20" t="s">
        <v>313</v>
      </c>
      <c r="B73" s="11" t="s">
        <v>189</v>
      </c>
      <c r="C73" s="11" t="s">
        <v>314</v>
      </c>
      <c r="D73" s="26">
        <v>45962.0</v>
      </c>
      <c r="E73" s="21" t="s">
        <v>74</v>
      </c>
      <c r="F73" s="11" t="s">
        <v>71</v>
      </c>
      <c r="G73" s="11" t="s">
        <v>75</v>
      </c>
      <c r="H73" s="11" t="s">
        <v>46</v>
      </c>
      <c r="I73" s="11" t="s">
        <v>46</v>
      </c>
      <c r="J73" s="11" t="s">
        <v>46</v>
      </c>
      <c r="K73" s="11" t="s">
        <v>46</v>
      </c>
      <c r="L73" s="11" t="s">
        <v>46</v>
      </c>
      <c r="M73" s="11" t="s">
        <v>46</v>
      </c>
      <c r="N73" s="10" t="s">
        <v>235</v>
      </c>
      <c r="O73" s="10" t="s">
        <v>57</v>
      </c>
      <c r="P73" s="10">
        <v>1.0</v>
      </c>
      <c r="Q73" s="10" t="s">
        <v>57</v>
      </c>
      <c r="R73" s="13">
        <v>1.0</v>
      </c>
      <c r="S73" s="10" t="s">
        <v>57</v>
      </c>
      <c r="T73" s="13">
        <v>1.0</v>
      </c>
      <c r="U73" s="10" t="s">
        <v>57</v>
      </c>
      <c r="V73" s="13">
        <v>1.0</v>
      </c>
      <c r="W73" s="10" t="s">
        <v>57</v>
      </c>
      <c r="X73" s="13">
        <v>1.0</v>
      </c>
      <c r="Y73" s="10" t="s">
        <v>57</v>
      </c>
      <c r="Z73" s="13">
        <v>1.0</v>
      </c>
      <c r="AA73" s="10" t="s">
        <v>57</v>
      </c>
      <c r="AB73" s="13">
        <v>1.0</v>
      </c>
      <c r="AC73" s="10" t="s">
        <v>57</v>
      </c>
      <c r="AD73" s="13">
        <v>1.0</v>
      </c>
      <c r="AE73" s="10" t="s">
        <v>57</v>
      </c>
      <c r="AF73" s="13">
        <v>1.0</v>
      </c>
      <c r="AG73" s="10" t="s">
        <v>57</v>
      </c>
      <c r="AH73" s="13">
        <v>1.0</v>
      </c>
      <c r="AI73" s="10" t="s">
        <v>57</v>
      </c>
      <c r="AJ73" s="13">
        <v>1.0</v>
      </c>
      <c r="AK73" s="10" t="s">
        <v>57</v>
      </c>
      <c r="AL73" s="14">
        <v>1.0</v>
      </c>
      <c r="AM73" s="10" t="s">
        <v>57</v>
      </c>
      <c r="AN73" s="14">
        <v>1.0</v>
      </c>
      <c r="AO73" s="15"/>
    </row>
    <row r="74">
      <c r="A74" s="23" t="s">
        <v>315</v>
      </c>
      <c r="B74" s="5" t="s">
        <v>189</v>
      </c>
      <c r="C74" s="5" t="s">
        <v>316</v>
      </c>
      <c r="D74" s="25" t="s">
        <v>317</v>
      </c>
      <c r="E74" s="25" t="s">
        <v>318</v>
      </c>
      <c r="F74" s="5" t="s">
        <v>71</v>
      </c>
      <c r="G74" s="5" t="s">
        <v>253</v>
      </c>
      <c r="H74" s="5" t="s">
        <v>46</v>
      </c>
      <c r="I74" s="5" t="s">
        <v>46</v>
      </c>
      <c r="J74" s="5" t="s">
        <v>46</v>
      </c>
      <c r="K74" s="5" t="s">
        <v>46</v>
      </c>
      <c r="L74" s="5" t="s">
        <v>46</v>
      </c>
      <c r="M74" s="4" t="s">
        <v>319</v>
      </c>
      <c r="N74" s="4" t="s">
        <v>87</v>
      </c>
      <c r="O74" s="4"/>
      <c r="P74" s="4">
        <v>0.0</v>
      </c>
      <c r="Q74" s="4" t="s">
        <v>50</v>
      </c>
      <c r="R74" s="16">
        <v>0.0</v>
      </c>
      <c r="S74" s="4" t="s">
        <v>53</v>
      </c>
      <c r="T74" s="7">
        <v>1.0</v>
      </c>
      <c r="U74" s="4" t="s">
        <v>53</v>
      </c>
      <c r="V74" s="7">
        <v>1.0</v>
      </c>
      <c r="W74" s="4" t="s">
        <v>53</v>
      </c>
      <c r="X74" s="7">
        <v>1.0</v>
      </c>
      <c r="Y74" s="4" t="s">
        <v>53</v>
      </c>
      <c r="Z74" s="7">
        <v>1.0</v>
      </c>
      <c r="AA74" s="4" t="s">
        <v>53</v>
      </c>
      <c r="AB74" s="7">
        <v>1.0</v>
      </c>
      <c r="AC74" s="4" t="s">
        <v>53</v>
      </c>
      <c r="AD74" s="7">
        <v>1.0</v>
      </c>
      <c r="AE74" s="4" t="s">
        <v>53</v>
      </c>
      <c r="AF74" s="7">
        <v>1.0</v>
      </c>
      <c r="AG74" s="4" t="s">
        <v>53</v>
      </c>
      <c r="AH74" s="7">
        <v>1.0</v>
      </c>
      <c r="AI74" s="4" t="s">
        <v>53</v>
      </c>
      <c r="AJ74" s="7">
        <v>1.0</v>
      </c>
      <c r="AK74" s="4" t="s">
        <v>53</v>
      </c>
      <c r="AL74" s="8">
        <v>1.0</v>
      </c>
      <c r="AM74" s="4" t="s">
        <v>53</v>
      </c>
      <c r="AN74" s="8">
        <v>1.0</v>
      </c>
      <c r="AO74" s="9"/>
    </row>
    <row r="75">
      <c r="A75" s="20" t="s">
        <v>320</v>
      </c>
      <c r="B75" s="11" t="s">
        <v>189</v>
      </c>
      <c r="C75" s="11" t="s">
        <v>321</v>
      </c>
      <c r="D75" s="31" t="s">
        <v>308</v>
      </c>
      <c r="E75" s="21" t="s">
        <v>74</v>
      </c>
      <c r="F75" s="11" t="s">
        <v>71</v>
      </c>
      <c r="G75" s="11" t="s">
        <v>322</v>
      </c>
      <c r="H75" s="11" t="s">
        <v>46</v>
      </c>
      <c r="I75" s="11" t="s">
        <v>46</v>
      </c>
      <c r="J75" s="11" t="s">
        <v>46</v>
      </c>
      <c r="K75" s="11" t="s">
        <v>46</v>
      </c>
      <c r="L75" s="11" t="s">
        <v>46</v>
      </c>
      <c r="M75" s="10" t="s">
        <v>323</v>
      </c>
      <c r="N75" s="10" t="s">
        <v>48</v>
      </c>
      <c r="O75" s="10"/>
      <c r="P75" s="10">
        <v>0.0</v>
      </c>
      <c r="Q75" s="10" t="s">
        <v>50</v>
      </c>
      <c r="R75" s="13">
        <v>0.0</v>
      </c>
      <c r="S75" s="10" t="s">
        <v>52</v>
      </c>
      <c r="T75" s="13">
        <v>0.0</v>
      </c>
      <c r="U75" s="10" t="s">
        <v>52</v>
      </c>
      <c r="V75" s="13">
        <v>0.0</v>
      </c>
      <c r="W75" s="10" t="s">
        <v>53</v>
      </c>
      <c r="X75" s="18">
        <v>1.0</v>
      </c>
      <c r="Y75" s="10" t="s">
        <v>53</v>
      </c>
      <c r="Z75" s="18">
        <v>1.0</v>
      </c>
      <c r="AA75" s="10" t="s">
        <v>53</v>
      </c>
      <c r="AB75" s="18">
        <v>1.0</v>
      </c>
      <c r="AC75" s="10" t="s">
        <v>53</v>
      </c>
      <c r="AD75" s="18">
        <v>1.0</v>
      </c>
      <c r="AE75" s="10" t="s">
        <v>53</v>
      </c>
      <c r="AF75" s="18">
        <v>1.0</v>
      </c>
      <c r="AG75" s="10" t="s">
        <v>53</v>
      </c>
      <c r="AH75" s="18">
        <v>1.0</v>
      </c>
      <c r="AI75" s="10" t="s">
        <v>53</v>
      </c>
      <c r="AJ75" s="18">
        <v>1.0</v>
      </c>
      <c r="AK75" s="10" t="s">
        <v>53</v>
      </c>
      <c r="AL75" s="14">
        <v>1.0</v>
      </c>
      <c r="AM75" s="10" t="s">
        <v>53</v>
      </c>
      <c r="AN75" s="14">
        <v>1.0</v>
      </c>
      <c r="AO75" s="15"/>
    </row>
    <row r="76">
      <c r="A76" s="23" t="s">
        <v>324</v>
      </c>
      <c r="B76" s="5" t="s">
        <v>189</v>
      </c>
      <c r="C76" s="5" t="s">
        <v>321</v>
      </c>
      <c r="D76" s="33" t="s">
        <v>267</v>
      </c>
      <c r="E76" s="24" t="s">
        <v>74</v>
      </c>
      <c r="F76" s="5" t="s">
        <v>71</v>
      </c>
      <c r="G76" s="5" t="s">
        <v>325</v>
      </c>
      <c r="H76" s="5" t="s">
        <v>46</v>
      </c>
      <c r="I76" s="5" t="s">
        <v>46</v>
      </c>
      <c r="J76" s="5" t="s">
        <v>46</v>
      </c>
      <c r="K76" s="5" t="s">
        <v>46</v>
      </c>
      <c r="L76" s="5" t="s">
        <v>46</v>
      </c>
      <c r="M76" s="5" t="s">
        <v>46</v>
      </c>
      <c r="N76" s="4" t="s">
        <v>48</v>
      </c>
      <c r="O76" s="4"/>
      <c r="P76" s="4">
        <v>0.0</v>
      </c>
      <c r="Q76" s="4" t="s">
        <v>50</v>
      </c>
      <c r="R76" s="16">
        <v>0.0</v>
      </c>
      <c r="S76" s="4" t="s">
        <v>53</v>
      </c>
      <c r="T76" s="7">
        <v>1.0</v>
      </c>
      <c r="U76" s="4" t="s">
        <v>53</v>
      </c>
      <c r="V76" s="7">
        <v>1.0</v>
      </c>
      <c r="W76" s="4" t="s">
        <v>53</v>
      </c>
      <c r="X76" s="7">
        <v>1.0</v>
      </c>
      <c r="Y76" s="4" t="s">
        <v>49</v>
      </c>
      <c r="Z76" s="16">
        <v>0.0</v>
      </c>
      <c r="AA76" s="4" t="s">
        <v>49</v>
      </c>
      <c r="AB76" s="16">
        <v>0.0</v>
      </c>
      <c r="AC76" s="4" t="s">
        <v>49</v>
      </c>
      <c r="AD76" s="16">
        <v>0.0</v>
      </c>
      <c r="AE76" s="4" t="s">
        <v>49</v>
      </c>
      <c r="AF76" s="16">
        <v>0.0</v>
      </c>
      <c r="AG76" s="4" t="s">
        <v>52</v>
      </c>
      <c r="AH76" s="16">
        <v>0.0</v>
      </c>
      <c r="AI76" s="4" t="s">
        <v>52</v>
      </c>
      <c r="AJ76" s="16">
        <v>0.0</v>
      </c>
      <c r="AK76" s="4" t="s">
        <v>53</v>
      </c>
      <c r="AL76" s="8">
        <v>1.0</v>
      </c>
      <c r="AM76" s="4" t="s">
        <v>53</v>
      </c>
      <c r="AN76" s="8">
        <v>1.0</v>
      </c>
      <c r="AO76" s="9"/>
    </row>
    <row r="77">
      <c r="A77" s="20" t="s">
        <v>326</v>
      </c>
      <c r="B77" s="11" t="s">
        <v>189</v>
      </c>
      <c r="C77" s="11" t="s">
        <v>327</v>
      </c>
      <c r="D77" s="31" t="s">
        <v>238</v>
      </c>
      <c r="E77" s="21" t="s">
        <v>74</v>
      </c>
      <c r="F77" s="11" t="s">
        <v>71</v>
      </c>
      <c r="G77" s="11" t="s">
        <v>253</v>
      </c>
      <c r="H77" s="11" t="s">
        <v>46</v>
      </c>
      <c r="I77" s="11" t="s">
        <v>46</v>
      </c>
      <c r="J77" s="11" t="s">
        <v>46</v>
      </c>
      <c r="K77" s="11" t="s">
        <v>46</v>
      </c>
      <c r="L77" s="11" t="s">
        <v>46</v>
      </c>
      <c r="M77" s="11" t="s">
        <v>46</v>
      </c>
      <c r="N77" s="10" t="s">
        <v>48</v>
      </c>
      <c r="O77" s="10"/>
      <c r="P77" s="10">
        <v>0.0</v>
      </c>
      <c r="Q77" s="10" t="s">
        <v>211</v>
      </c>
      <c r="R77" s="13">
        <v>0.0</v>
      </c>
      <c r="S77" s="10" t="s">
        <v>211</v>
      </c>
      <c r="T77" s="13">
        <v>0.0</v>
      </c>
      <c r="U77" s="10" t="s">
        <v>211</v>
      </c>
      <c r="V77" s="13">
        <v>0.0</v>
      </c>
      <c r="W77" s="10" t="s">
        <v>53</v>
      </c>
      <c r="X77" s="18">
        <v>1.0</v>
      </c>
      <c r="Y77" s="10" t="s">
        <v>53</v>
      </c>
      <c r="Z77" s="18">
        <v>1.0</v>
      </c>
      <c r="AA77" s="10" t="s">
        <v>53</v>
      </c>
      <c r="AB77" s="18">
        <v>1.0</v>
      </c>
      <c r="AC77" s="10" t="s">
        <v>53</v>
      </c>
      <c r="AD77" s="18">
        <v>1.0</v>
      </c>
      <c r="AE77" s="10" t="s">
        <v>53</v>
      </c>
      <c r="AF77" s="18">
        <v>1.0</v>
      </c>
      <c r="AG77" s="10" t="s">
        <v>53</v>
      </c>
      <c r="AH77" s="18">
        <v>1.0</v>
      </c>
      <c r="AI77" s="10" t="s">
        <v>53</v>
      </c>
      <c r="AJ77" s="18">
        <v>1.0</v>
      </c>
      <c r="AK77" s="10" t="s">
        <v>53</v>
      </c>
      <c r="AL77" s="14">
        <v>1.0</v>
      </c>
      <c r="AM77" s="10" t="s">
        <v>53</v>
      </c>
      <c r="AN77" s="14">
        <v>1.0</v>
      </c>
      <c r="AO77" s="15"/>
    </row>
    <row r="78">
      <c r="A78" s="23" t="s">
        <v>328</v>
      </c>
      <c r="B78" s="5" t="s">
        <v>189</v>
      </c>
      <c r="C78" s="5" t="s">
        <v>321</v>
      </c>
      <c r="D78" s="33" t="s">
        <v>123</v>
      </c>
      <c r="E78" s="24" t="s">
        <v>74</v>
      </c>
      <c r="F78" s="5" t="s">
        <v>45</v>
      </c>
      <c r="G78" s="5" t="s">
        <v>46</v>
      </c>
      <c r="H78" s="5" t="s">
        <v>46</v>
      </c>
      <c r="I78" s="5" t="s">
        <v>46</v>
      </c>
      <c r="J78" s="5" t="s">
        <v>46</v>
      </c>
      <c r="K78" s="5" t="s">
        <v>46</v>
      </c>
      <c r="L78" s="5" t="s">
        <v>46</v>
      </c>
      <c r="M78" s="4" t="s">
        <v>329</v>
      </c>
      <c r="N78" s="4" t="s">
        <v>77</v>
      </c>
      <c r="O78" s="4"/>
      <c r="P78" s="4">
        <v>0.0</v>
      </c>
      <c r="Q78" s="4" t="s">
        <v>49</v>
      </c>
      <c r="R78" s="16">
        <v>0.0</v>
      </c>
      <c r="S78" s="4" t="s">
        <v>49</v>
      </c>
      <c r="T78" s="16">
        <v>0.0</v>
      </c>
      <c r="U78" s="4" t="s">
        <v>49</v>
      </c>
      <c r="V78" s="16">
        <v>0.0</v>
      </c>
      <c r="W78" s="4" t="s">
        <v>49</v>
      </c>
      <c r="X78" s="16">
        <v>0.0</v>
      </c>
      <c r="Y78" s="4" t="s">
        <v>49</v>
      </c>
      <c r="Z78" s="16">
        <v>0.0</v>
      </c>
      <c r="AA78" s="4" t="s">
        <v>53</v>
      </c>
      <c r="AB78" s="7">
        <v>1.0</v>
      </c>
      <c r="AC78" s="4" t="s">
        <v>53</v>
      </c>
      <c r="AD78" s="7">
        <v>1.0</v>
      </c>
      <c r="AE78" s="4" t="s">
        <v>53</v>
      </c>
      <c r="AF78" s="7">
        <v>1.0</v>
      </c>
      <c r="AG78" s="4" t="s">
        <v>53</v>
      </c>
      <c r="AH78" s="7">
        <v>1.0</v>
      </c>
      <c r="AI78" s="4" t="s">
        <v>53</v>
      </c>
      <c r="AJ78" s="7">
        <v>1.0</v>
      </c>
      <c r="AK78" s="4" t="s">
        <v>53</v>
      </c>
      <c r="AL78" s="8">
        <v>1.0</v>
      </c>
      <c r="AM78" s="4" t="s">
        <v>53</v>
      </c>
      <c r="AN78" s="8">
        <v>1.0</v>
      </c>
      <c r="AO78" s="9"/>
    </row>
    <row r="79">
      <c r="A79" s="34" t="s">
        <v>330</v>
      </c>
      <c r="B79" s="11" t="s">
        <v>189</v>
      </c>
      <c r="C79" s="11" t="s">
        <v>321</v>
      </c>
      <c r="D79" s="31" t="s">
        <v>276</v>
      </c>
      <c r="E79" s="21" t="s">
        <v>74</v>
      </c>
      <c r="F79" s="11" t="s">
        <v>45</v>
      </c>
      <c r="G79" s="11" t="s">
        <v>46</v>
      </c>
      <c r="H79" s="11" t="s">
        <v>46</v>
      </c>
      <c r="I79" s="11" t="s">
        <v>46</v>
      </c>
      <c r="J79" s="11" t="s">
        <v>46</v>
      </c>
      <c r="K79" s="11" t="s">
        <v>46</v>
      </c>
      <c r="L79" s="11" t="s">
        <v>46</v>
      </c>
      <c r="M79" s="10" t="s">
        <v>331</v>
      </c>
      <c r="N79" s="10" t="s">
        <v>263</v>
      </c>
      <c r="O79" s="10" t="s">
        <v>88</v>
      </c>
      <c r="P79" s="10">
        <v>1.0</v>
      </c>
      <c r="Q79" s="10" t="s">
        <v>88</v>
      </c>
      <c r="R79" s="13">
        <v>1.0</v>
      </c>
      <c r="S79" s="10" t="s">
        <v>88</v>
      </c>
      <c r="T79" s="13">
        <v>1.0</v>
      </c>
      <c r="U79" s="10" t="s">
        <v>88</v>
      </c>
      <c r="V79" s="13">
        <v>1.0</v>
      </c>
      <c r="W79" s="10" t="s">
        <v>88</v>
      </c>
      <c r="X79" s="13">
        <v>1.0</v>
      </c>
      <c r="Y79" s="10" t="s">
        <v>88</v>
      </c>
      <c r="Z79" s="13">
        <v>1.0</v>
      </c>
      <c r="AA79" s="10" t="s">
        <v>88</v>
      </c>
      <c r="AB79" s="13">
        <v>1.0</v>
      </c>
      <c r="AC79" s="10" t="s">
        <v>88</v>
      </c>
      <c r="AD79" s="13">
        <v>1.0</v>
      </c>
      <c r="AE79" s="10" t="s">
        <v>88</v>
      </c>
      <c r="AF79" s="13">
        <v>1.0</v>
      </c>
      <c r="AG79" s="10" t="s">
        <v>88</v>
      </c>
      <c r="AH79" s="13">
        <v>1.0</v>
      </c>
      <c r="AI79" s="10" t="s">
        <v>88</v>
      </c>
      <c r="AJ79" s="13">
        <v>1.0</v>
      </c>
      <c r="AK79" s="10" t="s">
        <v>88</v>
      </c>
      <c r="AL79" s="14">
        <v>1.0</v>
      </c>
      <c r="AM79" s="10" t="s">
        <v>88</v>
      </c>
      <c r="AN79" s="14">
        <v>1.0</v>
      </c>
      <c r="AO79" s="15"/>
    </row>
    <row r="80">
      <c r="A80" s="35" t="s">
        <v>332</v>
      </c>
      <c r="B80" s="5" t="s">
        <v>189</v>
      </c>
      <c r="C80" s="5" t="s">
        <v>237</v>
      </c>
      <c r="D80" s="24" t="s">
        <v>333</v>
      </c>
      <c r="E80" s="24" t="s">
        <v>334</v>
      </c>
      <c r="F80" s="5" t="s">
        <v>71</v>
      </c>
      <c r="G80" s="5" t="s">
        <v>335</v>
      </c>
      <c r="H80" s="5">
        <v>50.0</v>
      </c>
      <c r="I80" s="5" t="s">
        <v>336</v>
      </c>
      <c r="J80" s="5" t="s">
        <v>195</v>
      </c>
      <c r="K80" s="5" t="s">
        <v>85</v>
      </c>
      <c r="L80" s="5" t="s">
        <v>258</v>
      </c>
      <c r="M80" s="4" t="s">
        <v>337</v>
      </c>
      <c r="N80" s="4" t="s">
        <v>48</v>
      </c>
      <c r="O80" s="4" t="s">
        <v>57</v>
      </c>
      <c r="P80" s="4">
        <v>1.0</v>
      </c>
      <c r="Q80" s="4" t="s">
        <v>57</v>
      </c>
      <c r="R80" s="16">
        <v>1.0</v>
      </c>
      <c r="S80" s="4" t="s">
        <v>57</v>
      </c>
      <c r="T80" s="16">
        <v>1.0</v>
      </c>
      <c r="U80" s="4" t="s">
        <v>57</v>
      </c>
      <c r="V80" s="16">
        <v>1.0</v>
      </c>
      <c r="W80" s="4" t="s">
        <v>57</v>
      </c>
      <c r="X80" s="16">
        <v>1.0</v>
      </c>
      <c r="Y80" s="4" t="s">
        <v>57</v>
      </c>
      <c r="Z80" s="16">
        <v>1.0</v>
      </c>
      <c r="AA80" s="4" t="s">
        <v>57</v>
      </c>
      <c r="AB80" s="16">
        <v>1.0</v>
      </c>
      <c r="AC80" s="4" t="s">
        <v>57</v>
      </c>
      <c r="AD80" s="16">
        <v>1.0</v>
      </c>
      <c r="AE80" s="4" t="s">
        <v>57</v>
      </c>
      <c r="AF80" s="16">
        <v>1.0</v>
      </c>
      <c r="AG80" s="4" t="s">
        <v>57</v>
      </c>
      <c r="AH80" s="16">
        <v>1.0</v>
      </c>
      <c r="AI80" s="4" t="s">
        <v>57</v>
      </c>
      <c r="AJ80" s="16">
        <v>1.0</v>
      </c>
      <c r="AK80" s="4" t="s">
        <v>57</v>
      </c>
      <c r="AL80" s="16">
        <v>1.0</v>
      </c>
      <c r="AM80" s="4" t="s">
        <v>57</v>
      </c>
      <c r="AN80" s="16">
        <v>1.0</v>
      </c>
      <c r="AO80" s="9"/>
    </row>
    <row r="81">
      <c r="A81" s="20" t="s">
        <v>338</v>
      </c>
      <c r="B81" s="11" t="s">
        <v>339</v>
      </c>
      <c r="C81" s="11" t="s">
        <v>340</v>
      </c>
      <c r="D81" s="31" t="s">
        <v>341</v>
      </c>
      <c r="E81" s="21" t="s">
        <v>74</v>
      </c>
      <c r="F81" s="11" t="s">
        <v>71</v>
      </c>
      <c r="G81" s="11" t="s">
        <v>75</v>
      </c>
      <c r="H81" s="11" t="s">
        <v>46</v>
      </c>
      <c r="I81" s="11" t="s">
        <v>46</v>
      </c>
      <c r="J81" s="11" t="s">
        <v>46</v>
      </c>
      <c r="K81" s="11" t="s">
        <v>46</v>
      </c>
      <c r="L81" s="11" t="s">
        <v>46</v>
      </c>
      <c r="M81" s="11" t="s">
        <v>46</v>
      </c>
      <c r="N81" s="10" t="s">
        <v>48</v>
      </c>
      <c r="O81" s="10"/>
      <c r="P81" s="10">
        <v>0.0</v>
      </c>
      <c r="Q81" s="10" t="s">
        <v>49</v>
      </c>
      <c r="R81" s="13">
        <v>0.0</v>
      </c>
      <c r="S81" s="10" t="s">
        <v>49</v>
      </c>
      <c r="T81" s="13">
        <v>0.0</v>
      </c>
      <c r="U81" s="10" t="s">
        <v>211</v>
      </c>
      <c r="V81" s="13">
        <v>0.0</v>
      </c>
      <c r="W81" s="10" t="s">
        <v>52</v>
      </c>
      <c r="X81" s="13">
        <v>0.0</v>
      </c>
      <c r="Y81" s="10" t="s">
        <v>52</v>
      </c>
      <c r="Z81" s="13">
        <v>0.0</v>
      </c>
      <c r="AA81" s="10" t="s">
        <v>53</v>
      </c>
      <c r="AB81" s="18">
        <v>1.0</v>
      </c>
      <c r="AC81" s="10" t="s">
        <v>53</v>
      </c>
      <c r="AD81" s="18">
        <v>1.0</v>
      </c>
      <c r="AE81" s="10" t="s">
        <v>53</v>
      </c>
      <c r="AF81" s="18">
        <v>1.0</v>
      </c>
      <c r="AG81" s="10" t="s">
        <v>53</v>
      </c>
      <c r="AH81" s="18">
        <v>1.0</v>
      </c>
      <c r="AI81" s="10" t="s">
        <v>53</v>
      </c>
      <c r="AJ81" s="18">
        <v>1.0</v>
      </c>
      <c r="AK81" s="10" t="s">
        <v>53</v>
      </c>
      <c r="AL81" s="14">
        <v>1.0</v>
      </c>
      <c r="AM81" s="10" t="s">
        <v>53</v>
      </c>
      <c r="AN81" s="14">
        <v>1.0</v>
      </c>
      <c r="AO81" s="15"/>
    </row>
    <row r="82">
      <c r="A82" s="23" t="s">
        <v>342</v>
      </c>
      <c r="B82" s="5" t="s">
        <v>339</v>
      </c>
      <c r="C82" s="5" t="s">
        <v>343</v>
      </c>
      <c r="D82" s="24" t="s">
        <v>123</v>
      </c>
      <c r="E82" s="24" t="s">
        <v>74</v>
      </c>
      <c r="F82" s="5" t="s">
        <v>45</v>
      </c>
      <c r="G82" s="5" t="s">
        <v>46</v>
      </c>
      <c r="H82" s="5" t="s">
        <v>46</v>
      </c>
      <c r="I82" s="5" t="s">
        <v>46</v>
      </c>
      <c r="J82" s="5" t="s">
        <v>46</v>
      </c>
      <c r="K82" s="5" t="s">
        <v>46</v>
      </c>
      <c r="L82" s="5" t="s">
        <v>46</v>
      </c>
      <c r="M82" s="4" t="s">
        <v>344</v>
      </c>
      <c r="N82" s="4" t="s">
        <v>77</v>
      </c>
      <c r="O82" s="4"/>
      <c r="P82" s="4">
        <v>0.0</v>
      </c>
      <c r="Q82" s="4" t="s">
        <v>49</v>
      </c>
      <c r="R82" s="7">
        <v>0.0</v>
      </c>
      <c r="S82" s="4" t="s">
        <v>49</v>
      </c>
      <c r="T82" s="7">
        <v>0.0</v>
      </c>
      <c r="U82" s="4" t="s">
        <v>49</v>
      </c>
      <c r="V82" s="7">
        <v>0.0</v>
      </c>
      <c r="W82" s="4" t="s">
        <v>49</v>
      </c>
      <c r="X82" s="7">
        <v>0.0</v>
      </c>
      <c r="Y82" s="4" t="s">
        <v>49</v>
      </c>
      <c r="Z82" s="7">
        <v>0.0</v>
      </c>
      <c r="AA82" s="4" t="s">
        <v>49</v>
      </c>
      <c r="AB82" s="7">
        <v>0.0</v>
      </c>
      <c r="AC82" s="4" t="s">
        <v>49</v>
      </c>
      <c r="AD82" s="7">
        <v>0.0</v>
      </c>
      <c r="AE82" s="4" t="s">
        <v>49</v>
      </c>
      <c r="AF82" s="7">
        <v>0.0</v>
      </c>
      <c r="AG82" s="4" t="s">
        <v>49</v>
      </c>
      <c r="AH82" s="7">
        <v>0.0</v>
      </c>
      <c r="AI82" s="4" t="s">
        <v>49</v>
      </c>
      <c r="AJ82" s="7">
        <v>0.0</v>
      </c>
      <c r="AK82" s="4" t="s">
        <v>49</v>
      </c>
      <c r="AL82" s="8">
        <v>0.0</v>
      </c>
      <c r="AM82" s="4" t="s">
        <v>49</v>
      </c>
      <c r="AN82" s="8">
        <v>0.0</v>
      </c>
      <c r="AO82" s="9"/>
    </row>
    <row r="83">
      <c r="A83" s="14" t="s">
        <v>345</v>
      </c>
      <c r="B83" s="36" t="s">
        <v>339</v>
      </c>
      <c r="C83" s="36" t="s">
        <v>346</v>
      </c>
      <c r="D83" s="37" t="s">
        <v>347</v>
      </c>
      <c r="E83" s="36" t="s">
        <v>74</v>
      </c>
      <c r="F83" s="36" t="s">
        <v>71</v>
      </c>
      <c r="G83" s="36" t="s">
        <v>262</v>
      </c>
      <c r="H83" s="36" t="s">
        <v>46</v>
      </c>
      <c r="I83" s="36" t="s">
        <v>46</v>
      </c>
      <c r="J83" s="36" t="s">
        <v>46</v>
      </c>
      <c r="K83" s="36" t="s">
        <v>46</v>
      </c>
      <c r="L83" s="36" t="s">
        <v>46</v>
      </c>
      <c r="M83" s="38" t="s">
        <v>348</v>
      </c>
      <c r="N83" s="10" t="s">
        <v>48</v>
      </c>
      <c r="O83" s="10"/>
      <c r="P83" s="10">
        <v>0.0</v>
      </c>
      <c r="Q83" s="10" t="s">
        <v>49</v>
      </c>
      <c r="R83" s="13">
        <v>0.0</v>
      </c>
      <c r="S83" s="10" t="s">
        <v>49</v>
      </c>
      <c r="T83" s="13">
        <v>0.0</v>
      </c>
      <c r="U83" s="10" t="s">
        <v>211</v>
      </c>
      <c r="V83" s="13">
        <v>0.0</v>
      </c>
      <c r="W83" s="10" t="s">
        <v>52</v>
      </c>
      <c r="X83" s="13">
        <v>0.0</v>
      </c>
      <c r="Y83" s="10" t="s">
        <v>52</v>
      </c>
      <c r="Z83" s="13">
        <v>0.0</v>
      </c>
      <c r="AA83" s="10" t="s">
        <v>53</v>
      </c>
      <c r="AB83" s="18">
        <v>1.0</v>
      </c>
      <c r="AC83" s="10" t="s">
        <v>53</v>
      </c>
      <c r="AD83" s="18">
        <v>1.0</v>
      </c>
      <c r="AE83" s="10" t="s">
        <v>53</v>
      </c>
      <c r="AF83" s="18">
        <v>1.0</v>
      </c>
      <c r="AG83" s="10" t="s">
        <v>53</v>
      </c>
      <c r="AH83" s="18">
        <v>1.0</v>
      </c>
      <c r="AI83" s="10" t="s">
        <v>53</v>
      </c>
      <c r="AJ83" s="18">
        <v>1.0</v>
      </c>
      <c r="AK83" s="10" t="s">
        <v>53</v>
      </c>
      <c r="AL83" s="14">
        <v>1.0</v>
      </c>
      <c r="AM83" s="10" t="s">
        <v>53</v>
      </c>
      <c r="AN83" s="14">
        <v>1.0</v>
      </c>
      <c r="AO83" s="15"/>
    </row>
    <row r="84">
      <c r="A84" s="23" t="s">
        <v>349</v>
      </c>
      <c r="B84" s="5" t="s">
        <v>339</v>
      </c>
      <c r="C84" s="5" t="s">
        <v>350</v>
      </c>
      <c r="D84" s="24" t="s">
        <v>351</v>
      </c>
      <c r="E84" s="24" t="s">
        <v>74</v>
      </c>
      <c r="F84" s="5" t="s">
        <v>71</v>
      </c>
      <c r="G84" s="5" t="s">
        <v>104</v>
      </c>
      <c r="H84" s="5" t="s">
        <v>352</v>
      </c>
      <c r="I84" s="5" t="s">
        <v>353</v>
      </c>
      <c r="J84" s="5" t="s">
        <v>354</v>
      </c>
      <c r="K84" s="5" t="s">
        <v>85</v>
      </c>
      <c r="L84" s="5" t="s">
        <v>86</v>
      </c>
      <c r="M84" s="4" t="s">
        <v>355</v>
      </c>
      <c r="N84" s="4" t="s">
        <v>67</v>
      </c>
      <c r="O84" s="4"/>
      <c r="P84" s="4">
        <v>0.0</v>
      </c>
      <c r="Q84" s="4" t="s">
        <v>49</v>
      </c>
      <c r="R84" s="16">
        <v>0.0</v>
      </c>
      <c r="S84" s="4" t="s">
        <v>49</v>
      </c>
      <c r="T84" s="16">
        <v>0.0</v>
      </c>
      <c r="U84" s="4" t="s">
        <v>49</v>
      </c>
      <c r="V84" s="16">
        <v>0.0</v>
      </c>
      <c r="W84" s="4" t="s">
        <v>52</v>
      </c>
      <c r="X84" s="16">
        <v>0.0</v>
      </c>
      <c r="Y84" s="4" t="s">
        <v>53</v>
      </c>
      <c r="Z84" s="7">
        <v>1.0</v>
      </c>
      <c r="AA84" s="4" t="s">
        <v>53</v>
      </c>
      <c r="AB84" s="7">
        <v>1.0</v>
      </c>
      <c r="AC84" s="4" t="s">
        <v>53</v>
      </c>
      <c r="AD84" s="7">
        <v>1.0</v>
      </c>
      <c r="AE84" s="4" t="s">
        <v>53</v>
      </c>
      <c r="AF84" s="7">
        <v>1.0</v>
      </c>
      <c r="AG84" s="4" t="s">
        <v>53</v>
      </c>
      <c r="AH84" s="7">
        <v>1.0</v>
      </c>
      <c r="AI84" s="4" t="s">
        <v>53</v>
      </c>
      <c r="AJ84" s="7">
        <v>1.0</v>
      </c>
      <c r="AK84" s="4" t="s">
        <v>53</v>
      </c>
      <c r="AL84" s="8">
        <v>1.0</v>
      </c>
      <c r="AM84" s="4" t="s">
        <v>53</v>
      </c>
      <c r="AN84" s="8">
        <v>1.0</v>
      </c>
      <c r="AO84" s="9"/>
    </row>
    <row r="85">
      <c r="A85" s="20" t="s">
        <v>356</v>
      </c>
      <c r="B85" s="11" t="s">
        <v>339</v>
      </c>
      <c r="C85" s="11" t="s">
        <v>357</v>
      </c>
      <c r="D85" s="21" t="s">
        <v>358</v>
      </c>
      <c r="E85" s="11" t="s">
        <v>44</v>
      </c>
      <c r="F85" s="11" t="s">
        <v>71</v>
      </c>
      <c r="G85" s="11" t="s">
        <v>262</v>
      </c>
      <c r="H85" s="11" t="s">
        <v>359</v>
      </c>
      <c r="I85" s="11" t="s">
        <v>97</v>
      </c>
      <c r="J85" s="11" t="s">
        <v>98</v>
      </c>
      <c r="K85" s="11" t="s">
        <v>85</v>
      </c>
      <c r="L85" s="11" t="s">
        <v>86</v>
      </c>
      <c r="M85" s="10" t="s">
        <v>360</v>
      </c>
      <c r="N85" s="10" t="s">
        <v>48</v>
      </c>
      <c r="O85" s="10"/>
      <c r="P85" s="10">
        <v>0.0</v>
      </c>
      <c r="Q85" s="10" t="s">
        <v>49</v>
      </c>
      <c r="R85" s="13">
        <v>0.0</v>
      </c>
      <c r="S85" s="10" t="s">
        <v>181</v>
      </c>
      <c r="T85" s="13">
        <v>0.0</v>
      </c>
      <c r="U85" s="10" t="s">
        <v>181</v>
      </c>
      <c r="V85" s="13">
        <v>0.0</v>
      </c>
      <c r="W85" s="10" t="s">
        <v>181</v>
      </c>
      <c r="X85" s="13">
        <v>0.0</v>
      </c>
      <c r="Y85" s="10" t="s">
        <v>181</v>
      </c>
      <c r="Z85" s="13">
        <v>0.0</v>
      </c>
      <c r="AA85" s="10" t="s">
        <v>53</v>
      </c>
      <c r="AB85" s="18">
        <v>1.0</v>
      </c>
      <c r="AC85" s="10" t="s">
        <v>53</v>
      </c>
      <c r="AD85" s="18">
        <v>1.0</v>
      </c>
      <c r="AE85" s="10" t="s">
        <v>53</v>
      </c>
      <c r="AF85" s="18">
        <v>1.0</v>
      </c>
      <c r="AG85" s="10" t="s">
        <v>53</v>
      </c>
      <c r="AH85" s="18">
        <v>1.0</v>
      </c>
      <c r="AI85" s="10" t="s">
        <v>53</v>
      </c>
      <c r="AJ85" s="18">
        <v>1.0</v>
      </c>
      <c r="AK85" s="10" t="s">
        <v>53</v>
      </c>
      <c r="AL85" s="14">
        <v>1.0</v>
      </c>
      <c r="AM85" s="10" t="s">
        <v>53</v>
      </c>
      <c r="AN85" s="14">
        <v>1.0</v>
      </c>
      <c r="AO85" s="15"/>
    </row>
    <row r="86">
      <c r="A86" s="23" t="s">
        <v>361</v>
      </c>
      <c r="B86" s="5" t="s">
        <v>339</v>
      </c>
      <c r="C86" s="5" t="s">
        <v>362</v>
      </c>
      <c r="D86" s="24" t="s">
        <v>363</v>
      </c>
      <c r="E86" s="5" t="s">
        <v>74</v>
      </c>
      <c r="F86" s="5" t="s">
        <v>45</v>
      </c>
      <c r="G86" s="5" t="s">
        <v>46</v>
      </c>
      <c r="H86" s="5" t="s">
        <v>46</v>
      </c>
      <c r="I86" s="5" t="s">
        <v>46</v>
      </c>
      <c r="J86" s="5" t="s">
        <v>46</v>
      </c>
      <c r="K86" s="5" t="s">
        <v>46</v>
      </c>
      <c r="L86" s="5" t="s">
        <v>46</v>
      </c>
      <c r="M86" s="4" t="s">
        <v>364</v>
      </c>
      <c r="N86" s="4" t="s">
        <v>48</v>
      </c>
      <c r="O86" s="4"/>
      <c r="P86" s="4">
        <v>0.0</v>
      </c>
      <c r="Q86" s="4" t="s">
        <v>53</v>
      </c>
      <c r="R86" s="16">
        <v>1.0</v>
      </c>
      <c r="S86" s="4" t="s">
        <v>53</v>
      </c>
      <c r="T86" s="16">
        <v>1.0</v>
      </c>
      <c r="U86" s="4" t="s">
        <v>53</v>
      </c>
      <c r="V86" s="16">
        <v>1.0</v>
      </c>
      <c r="W86" s="4" t="s">
        <v>49</v>
      </c>
      <c r="X86" s="16">
        <v>0.0</v>
      </c>
      <c r="Y86" s="4" t="s">
        <v>50</v>
      </c>
      <c r="Z86" s="16">
        <v>0.0</v>
      </c>
      <c r="AA86" s="4" t="s">
        <v>50</v>
      </c>
      <c r="AB86" s="16">
        <v>0.0</v>
      </c>
      <c r="AC86" s="4" t="s">
        <v>88</v>
      </c>
      <c r="AD86" s="16">
        <v>1.0</v>
      </c>
      <c r="AE86" s="4" t="s">
        <v>88</v>
      </c>
      <c r="AF86" s="16">
        <v>1.0</v>
      </c>
      <c r="AG86" s="4" t="s">
        <v>88</v>
      </c>
      <c r="AH86" s="16">
        <v>1.0</v>
      </c>
      <c r="AI86" s="4" t="s">
        <v>88</v>
      </c>
      <c r="AJ86" s="16">
        <v>1.0</v>
      </c>
      <c r="AK86" s="4" t="s">
        <v>88</v>
      </c>
      <c r="AL86" s="8">
        <v>1.0</v>
      </c>
      <c r="AM86" s="4" t="s">
        <v>88</v>
      </c>
      <c r="AN86" s="8">
        <v>1.0</v>
      </c>
      <c r="AO86" s="9"/>
    </row>
    <row r="87">
      <c r="A87" s="20" t="s">
        <v>365</v>
      </c>
      <c r="B87" s="11" t="s">
        <v>339</v>
      </c>
      <c r="C87" s="11" t="s">
        <v>366</v>
      </c>
      <c r="D87" s="21" t="s">
        <v>123</v>
      </c>
      <c r="E87" s="11" t="s">
        <v>74</v>
      </c>
      <c r="F87" s="11" t="s">
        <v>367</v>
      </c>
      <c r="G87" s="11" t="s">
        <v>368</v>
      </c>
      <c r="H87" s="11" t="s">
        <v>46</v>
      </c>
      <c r="I87" s="11" t="s">
        <v>46</v>
      </c>
      <c r="J87" s="11" t="s">
        <v>46</v>
      </c>
      <c r="K87" s="11" t="s">
        <v>46</v>
      </c>
      <c r="L87" s="11" t="s">
        <v>46</v>
      </c>
      <c r="M87" s="10" t="s">
        <v>369</v>
      </c>
      <c r="N87" s="10" t="s">
        <v>77</v>
      </c>
      <c r="O87" s="10"/>
      <c r="P87" s="10">
        <v>0.0</v>
      </c>
      <c r="Q87" s="10" t="s">
        <v>49</v>
      </c>
      <c r="R87" s="18">
        <f>IFERROR(__xludf.DUMMYFUNCTION("IF(
  OR(
    REGEXMATCH(LOWER(Q2),""sent""),
    REGEXMATCH(LOWER(Q2),""done"")
  ),
  1,
  0
)"),0.0)</f>
        <v>0</v>
      </c>
      <c r="S87" s="10" t="s">
        <v>49</v>
      </c>
      <c r="T87" s="18">
        <f>IFERROR(__xludf.DUMMYFUNCTION("IF(
  OR(
    REGEXMATCH(LOWER(S2),""sent""),
    REGEXMATCH(LOWER(S2),""done"")
  ),
  1,
  0
)"),0.0)</f>
        <v>0</v>
      </c>
      <c r="U87" s="10" t="s">
        <v>211</v>
      </c>
      <c r="V87" s="18">
        <f>IFERROR(__xludf.DUMMYFUNCTION("IF(
  OR(
    REGEXMATCH(LOWER(U2),""sent""),
    REGEXMATCH(LOWER(U2),""done"")
  ),
  1,
  0
)"),0.0)</f>
        <v>0</v>
      </c>
      <c r="W87" s="10" t="s">
        <v>211</v>
      </c>
      <c r="X87" s="18">
        <f>IFERROR(__xludf.DUMMYFUNCTION("IF(
  OR(
    REGEXMATCH(LOWER(W2),""sent""),
    REGEXMATCH(LOWER(W2),""done"")
  ),
  1,
  0
)"),0.0)</f>
        <v>0</v>
      </c>
      <c r="Y87" s="10" t="s">
        <v>52</v>
      </c>
      <c r="Z87" s="13">
        <v>0.0</v>
      </c>
      <c r="AA87" s="10" t="s">
        <v>53</v>
      </c>
      <c r="AB87" s="18">
        <f>IFERROR(__xludf.DUMMYFUNCTION("IF(
  OR(
    REGEXMATCH(LOWER(AA2),""sent""),
    REGEXMATCH(LOWER(AA2),""done"")
  ),
  1,
  0
)"),1.0)</f>
        <v>1</v>
      </c>
      <c r="AC87" s="10" t="s">
        <v>53</v>
      </c>
      <c r="AD87" s="18">
        <f>IFERROR(__xludf.DUMMYFUNCTION("IF(
  OR(
    REGEXMATCH(LOWER(AC2),""sent""),
    REGEXMATCH(LOWER(AC2),""done"")
  ),
  1,
  0
)"),1.0)</f>
        <v>1</v>
      </c>
      <c r="AE87" s="10" t="s">
        <v>53</v>
      </c>
      <c r="AF87" s="13">
        <v>1.0</v>
      </c>
      <c r="AG87" s="10" t="s">
        <v>53</v>
      </c>
      <c r="AH87" s="18">
        <f>IFERROR(__xludf.DUMMYFUNCTION("IF(
  OR(
    REGEXMATCH(LOWER(AG2),""sent""),
    REGEXMATCH(LOWER(AG2),""done"")
  ),
  1,
  0
)"),1.0)</f>
        <v>1</v>
      </c>
      <c r="AI87" s="10" t="s">
        <v>53</v>
      </c>
      <c r="AJ87" s="18">
        <f>IFERROR(__xludf.DUMMYFUNCTION("IF(
  OR(
    REGEXMATCH(LOWER(AI2),""sent""),
    REGEXMATCH(LOWER(AI2),""done"")
  ),
  1,
  0
)"),1.0)</f>
        <v>1</v>
      </c>
      <c r="AK87" s="10" t="s">
        <v>53</v>
      </c>
      <c r="AL87" s="14">
        <f>IFERROR(__xludf.DUMMYFUNCTION("IF(
  OR(
    REGEXMATCH(LOWER(AK2),""sent""),
    REGEXMATCH(LOWER(AK2),""done"")
  ),
  1,
  0
)"),1.0)</f>
        <v>1</v>
      </c>
      <c r="AM87" s="10" t="s">
        <v>53</v>
      </c>
      <c r="AN87" s="14">
        <f>IFERROR(__xludf.DUMMYFUNCTION("IF(
  OR(
    REGEXMATCH(LOWER(AM2),""sent""),
    REGEXMATCH(LOWER(AM2),""done"")
  ),
  1,
  0
)"),1.0)</f>
        <v>1</v>
      </c>
      <c r="AO87" s="39">
        <v>46215.0</v>
      </c>
    </row>
    <row r="88">
      <c r="A88" s="23" t="s">
        <v>370</v>
      </c>
      <c r="B88" s="5" t="s">
        <v>339</v>
      </c>
      <c r="C88" s="5" t="s">
        <v>371</v>
      </c>
      <c r="D88" s="24" t="s">
        <v>123</v>
      </c>
      <c r="E88" s="5" t="s">
        <v>74</v>
      </c>
      <c r="F88" s="5" t="s">
        <v>45</v>
      </c>
      <c r="G88" s="5" t="s">
        <v>46</v>
      </c>
      <c r="H88" s="5" t="s">
        <v>46</v>
      </c>
      <c r="I88" s="5" t="s">
        <v>46</v>
      </c>
      <c r="J88" s="5" t="s">
        <v>46</v>
      </c>
      <c r="K88" s="5" t="s">
        <v>46</v>
      </c>
      <c r="L88" s="5" t="s">
        <v>46</v>
      </c>
      <c r="M88" s="5" t="s">
        <v>46</v>
      </c>
      <c r="N88" s="4" t="s">
        <v>48</v>
      </c>
      <c r="O88" s="4"/>
      <c r="P88" s="4">
        <v>0.0</v>
      </c>
      <c r="Q88" s="4" t="s">
        <v>49</v>
      </c>
      <c r="R88" s="7">
        <f>IFERROR(__xludf.DUMMYFUNCTION("IF(
  OR(
    REGEXMATCH(LOWER(Q2),""sent""),
    REGEXMATCH(LOWER(Q2),""done"")
  ),
  1,
  0
)"),0.0)</f>
        <v>0</v>
      </c>
      <c r="S88" s="4" t="s">
        <v>49</v>
      </c>
      <c r="T88" s="7">
        <f>IFERROR(__xludf.DUMMYFUNCTION("IF(
  OR(
    REGEXMATCH(LOWER(S2),""sent""),
    REGEXMATCH(LOWER(S2),""done"")
  ),
  1,
  0
)"),0.0)</f>
        <v>0</v>
      </c>
      <c r="U88" s="4" t="s">
        <v>52</v>
      </c>
      <c r="V88" s="7">
        <f>IFERROR(__xludf.DUMMYFUNCTION("IF(
  OR(
    REGEXMATCH(LOWER(U2),""sent""),
    REGEXMATCH(LOWER(U2),""done"")
  ),
  1,
  0
)"),0.0)</f>
        <v>0</v>
      </c>
      <c r="W88" s="4" t="s">
        <v>88</v>
      </c>
      <c r="X88" s="16">
        <v>1.0</v>
      </c>
      <c r="Y88" s="4" t="s">
        <v>88</v>
      </c>
      <c r="Z88" s="16">
        <v>1.0</v>
      </c>
      <c r="AA88" s="4" t="s">
        <v>88</v>
      </c>
      <c r="AB88" s="7">
        <f>IFERROR(__xludf.DUMMYFUNCTION("IF(
  OR(
    REGEXMATCH(LOWER(AA2),""sent""),
    REGEXMATCH(LOWER(AA2),""done"")
  ),
  1,
  0
)"),1.0)</f>
        <v>1</v>
      </c>
      <c r="AC88" s="4" t="s">
        <v>88</v>
      </c>
      <c r="AD88" s="16">
        <v>1.0</v>
      </c>
      <c r="AE88" s="4" t="s">
        <v>88</v>
      </c>
      <c r="AF88" s="16">
        <v>1.0</v>
      </c>
      <c r="AG88" s="4" t="s">
        <v>88</v>
      </c>
      <c r="AH88" s="16">
        <v>1.0</v>
      </c>
      <c r="AI88" s="4" t="s">
        <v>88</v>
      </c>
      <c r="AJ88" s="16">
        <v>1.0</v>
      </c>
      <c r="AK88" s="4" t="s">
        <v>88</v>
      </c>
      <c r="AL88" s="8">
        <v>1.0</v>
      </c>
      <c r="AM88" s="4" t="s">
        <v>88</v>
      </c>
      <c r="AN88" s="8">
        <v>1.0</v>
      </c>
      <c r="AO88" s="9"/>
    </row>
    <row r="89">
      <c r="A89" s="10" t="s">
        <v>372</v>
      </c>
      <c r="B89" s="11" t="s">
        <v>339</v>
      </c>
      <c r="C89" s="10" t="s">
        <v>373</v>
      </c>
      <c r="D89" s="21" t="s">
        <v>267</v>
      </c>
      <c r="E89" s="11" t="s">
        <v>268</v>
      </c>
      <c r="F89" s="11" t="s">
        <v>71</v>
      </c>
      <c r="G89" s="11" t="s">
        <v>104</v>
      </c>
      <c r="H89" s="11" t="s">
        <v>374</v>
      </c>
      <c r="I89" s="11" t="s">
        <v>269</v>
      </c>
      <c r="J89" s="11" t="s">
        <v>98</v>
      </c>
      <c r="K89" s="11" t="s">
        <v>85</v>
      </c>
      <c r="L89" s="11" t="s">
        <v>86</v>
      </c>
      <c r="M89" s="10" t="s">
        <v>270</v>
      </c>
      <c r="N89" s="10" t="s">
        <v>48</v>
      </c>
      <c r="O89" s="10"/>
      <c r="P89" s="10">
        <v>0.0</v>
      </c>
      <c r="Q89" s="10" t="s">
        <v>49</v>
      </c>
      <c r="R89" s="18">
        <v>0.0</v>
      </c>
      <c r="S89" s="10" t="s">
        <v>49</v>
      </c>
      <c r="T89" s="18">
        <v>0.0</v>
      </c>
      <c r="U89" s="10" t="s">
        <v>49</v>
      </c>
      <c r="V89" s="18">
        <v>0.0</v>
      </c>
      <c r="W89" s="10" t="s">
        <v>53</v>
      </c>
      <c r="X89" s="13">
        <v>1.0</v>
      </c>
      <c r="Y89" s="10" t="s">
        <v>53</v>
      </c>
      <c r="Z89" s="13">
        <v>1.0</v>
      </c>
      <c r="AA89" s="10" t="s">
        <v>88</v>
      </c>
      <c r="AB89" s="13">
        <v>1.0</v>
      </c>
      <c r="AC89" s="10" t="s">
        <v>88</v>
      </c>
      <c r="AD89" s="13">
        <v>1.0</v>
      </c>
      <c r="AE89" s="10" t="s">
        <v>88</v>
      </c>
      <c r="AF89" s="13">
        <v>1.0</v>
      </c>
      <c r="AG89" s="10" t="s">
        <v>88</v>
      </c>
      <c r="AH89" s="13">
        <v>1.0</v>
      </c>
      <c r="AI89" s="10" t="s">
        <v>88</v>
      </c>
      <c r="AJ89" s="13">
        <v>1.0</v>
      </c>
      <c r="AK89" s="10" t="s">
        <v>88</v>
      </c>
      <c r="AL89" s="14">
        <v>1.0</v>
      </c>
      <c r="AM89" s="10" t="s">
        <v>88</v>
      </c>
      <c r="AN89" s="14">
        <v>1.0</v>
      </c>
      <c r="AO89" s="15"/>
    </row>
    <row r="90">
      <c r="F90" s="40"/>
      <c r="G90" s="40"/>
      <c r="H90" s="40"/>
      <c r="I90" s="40"/>
      <c r="J90" s="40"/>
      <c r="K90" s="40"/>
      <c r="L90" s="40"/>
      <c r="M90" s="40"/>
      <c r="R90" s="41"/>
      <c r="T90" s="41"/>
      <c r="V90" s="41"/>
      <c r="X90" s="41"/>
      <c r="Z90" s="41"/>
      <c r="AB90" s="41"/>
      <c r="AD90" s="41"/>
      <c r="AF90" s="41"/>
      <c r="AH90" s="41"/>
      <c r="AJ90" s="41"/>
    </row>
    <row r="91">
      <c r="F91" s="40"/>
      <c r="G91" s="40"/>
      <c r="H91" s="40"/>
      <c r="I91" s="40"/>
      <c r="J91" s="40"/>
      <c r="K91" s="40"/>
      <c r="L91" s="40"/>
      <c r="M91" s="40"/>
      <c r="O91" s="42"/>
      <c r="Q91" s="42">
        <v>0.0</v>
      </c>
      <c r="R91" s="41"/>
      <c r="S91" s="43">
        <v>46031.0</v>
      </c>
      <c r="T91" s="44"/>
      <c r="V91" s="41"/>
      <c r="X91" s="41"/>
      <c r="Z91" s="41"/>
      <c r="AB91" s="41"/>
      <c r="AD91" s="41"/>
      <c r="AF91" s="41"/>
      <c r="AH91" s="41"/>
      <c r="AJ91" s="41"/>
    </row>
  </sheetData>
  <autoFilter ref="$A$1:$AO$89"/>
  <dataValidations>
    <dataValidation type="list" allowBlank="1" showErrorMessage="1" sqref="O2:O89 Q2:Q89 S2:S89 U2:U89 W2:W89 Y2:Y89 AA2:AA89 AC2:AC89 AE2:AE89 AG2:AG89 AI2:AI89 AK2:AK89 AM2:AM89">
      <formula1>"Done with claims,under rework,no ehr access,yet to start with,working,under audit,sent to client,dont send them sheets,not able to bill the patients,yet to be audited,dont want the sheets,Not Applicable,need to send it to client,sent to Hemant,doing the c"&amp;"laims,sent for AI audit"</formula1>
    </dataValidation>
    <dataValidation type="list" allowBlank="1" showErrorMessage="1" sqref="N2:N89">
      <formula1>"not called,at risk,very disappointment,no touchbase in last quater,no sheets sent in last quater,might loose very less activity,Fair,Good,need to start acquistion again"</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1" max="11" width="17.75"/>
    <col customWidth="1" min="12" max="13" width="18.25"/>
  </cols>
  <sheetData>
    <row r="1">
      <c r="N1" s="42" t="s">
        <v>387</v>
      </c>
    </row>
    <row r="2">
      <c r="N2" s="47">
        <f t="shared" ref="N2:N5" si="1">AVERAGE(B2:M2)
</f>
        <v>0.712585034</v>
      </c>
    </row>
    <row r="3">
      <c r="N3" s="48">
        <f t="shared" si="1"/>
        <v>0.8703703704</v>
      </c>
    </row>
    <row r="4">
      <c r="N4" s="47">
        <f t="shared" si="1"/>
        <v>0.8055555556</v>
      </c>
    </row>
    <row r="5">
      <c r="N5" s="47">
        <f t="shared" si="1"/>
        <v>0.5833333333</v>
      </c>
    </row>
  </sheetData>
  <conditionalFormatting sqref="N2:N5">
    <cfRule type="cellIs" dxfId="1" priority="1" operator="lessThan">
      <formula>0.65</formula>
    </cfRule>
  </conditionalFormatting>
  <conditionalFormatting sqref="N2:N5">
    <cfRule type="cellIs" dxfId="2" priority="2" operator="between">
      <formula>0.5</formula>
      <formula>0.75</formula>
    </cfRule>
  </conditionalFormatting>
  <conditionalFormatting sqref="N2:N5">
    <cfRule type="cellIs" dxfId="3" priority="3" operator="greaterThanOrEqual">
      <formula>0.75</formula>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4" max="4" width="29.5"/>
    <col customWidth="1" min="5" max="5" width="18.75"/>
    <col customWidth="1" min="6" max="6" width="25.25"/>
    <col customWidth="1" min="7" max="8" width="21.5"/>
    <col customWidth="1" min="9" max="10" width="14.0"/>
  </cols>
  <sheetData>
    <row r="1">
      <c r="A1" s="49" t="s">
        <v>388</v>
      </c>
      <c r="B1" s="49" t="s">
        <v>389</v>
      </c>
      <c r="C1" s="49" t="s">
        <v>390</v>
      </c>
      <c r="D1" s="49" t="s">
        <v>391</v>
      </c>
      <c r="E1" s="49" t="s">
        <v>5</v>
      </c>
      <c r="F1" s="49" t="s">
        <v>392</v>
      </c>
      <c r="G1" s="49" t="s">
        <v>9</v>
      </c>
      <c r="H1" s="49" t="s">
        <v>10</v>
      </c>
      <c r="I1" s="49" t="s">
        <v>11</v>
      </c>
      <c r="J1" s="50"/>
      <c r="K1" s="50"/>
      <c r="L1" s="50"/>
      <c r="M1" s="50"/>
      <c r="N1" s="50"/>
      <c r="O1" s="50"/>
      <c r="P1" s="50"/>
      <c r="Q1" s="50"/>
      <c r="R1" s="50"/>
      <c r="S1" s="50"/>
      <c r="T1" s="50"/>
      <c r="U1" s="50"/>
      <c r="V1" s="50"/>
      <c r="W1" s="50"/>
      <c r="X1" s="50"/>
      <c r="Y1" s="50"/>
      <c r="Z1" s="50"/>
      <c r="AA1" s="50"/>
      <c r="AB1" s="50"/>
      <c r="AC1" s="50"/>
    </row>
    <row r="22">
      <c r="A22" s="42" t="s">
        <v>393</v>
      </c>
      <c r="B22" s="42" t="s">
        <v>1</v>
      </c>
      <c r="C22" s="42" t="s">
        <v>388</v>
      </c>
      <c r="D22" s="42" t="s">
        <v>394</v>
      </c>
      <c r="E22" s="42"/>
      <c r="F22" s="42" t="s">
        <v>395</v>
      </c>
      <c r="G22" s="42"/>
      <c r="H22" s="42" t="s">
        <v>396</v>
      </c>
    </row>
    <row r="24">
      <c r="A24" s="42" t="s">
        <v>397</v>
      </c>
    </row>
    <row r="27">
      <c r="A27" s="42" t="s">
        <v>398</v>
      </c>
      <c r="B27" s="42" t="s">
        <v>399</v>
      </c>
      <c r="C27" s="42" t="s">
        <v>400</v>
      </c>
      <c r="D27" s="42" t="s">
        <v>401</v>
      </c>
      <c r="E27" s="42" t="s">
        <v>402</v>
      </c>
      <c r="F27" s="42" t="s">
        <v>403</v>
      </c>
      <c r="G27" s="42" t="s">
        <v>402</v>
      </c>
      <c r="H27" s="42" t="s">
        <v>404</v>
      </c>
      <c r="I27" s="42" t="s">
        <v>402</v>
      </c>
      <c r="J27" s="42" t="s">
        <v>405</v>
      </c>
      <c r="K27" s="42" t="s">
        <v>406</v>
      </c>
    </row>
    <row r="28">
      <c r="L28" s="42" t="s">
        <v>407</v>
      </c>
    </row>
  </sheetData>
  <drawing r:id="rId1"/>
</worksheet>
</file>